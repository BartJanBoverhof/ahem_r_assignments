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elinekrijkamp/Documents/GitHub/ahem_r_assignments/data/"/>
    </mc:Choice>
  </mc:AlternateContent>
  <xr:revisionPtr revIDLastSave="0" documentId="13_ncr:1_{7AB660A9-3090-3E41-9FDF-31E9BA509624}" xr6:coauthVersionLast="47" xr6:coauthVersionMax="47" xr10:uidLastSave="{00000000-0000-0000-0000-000000000000}"/>
  <bookViews>
    <workbookView xWindow="6860" yWindow="660" windowWidth="18740" windowHeight="15980" tabRatio="887" activeTab="1" xr2:uid="{00000000-000D-0000-FFFF-FFFF00000000}"/>
  </bookViews>
  <sheets>
    <sheet name="XY" sheetId="29" r:id="rId1"/>
    <sheet name="Number events &amp; censored" sheetId="22" r:id="rId2"/>
    <sheet name="R data" sheetId="28" r:id="rId3"/>
    <sheet name="Kaplan-Meier" sheetId="26" r:id="rId4"/>
    <sheet name="Curve fitting 'R' code" sheetId="24" r:id="rId5"/>
  </sheets>
  <definedNames>
    <definedName name="gamma">#REF!</definedName>
    <definedName name="lambda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8" l="1"/>
  <c r="G2" i="28"/>
  <c r="H62" i="22" l="1"/>
  <c r="H58" i="22"/>
  <c r="H54" i="22"/>
  <c r="H50" i="22"/>
  <c r="H38" i="22"/>
  <c r="H42" i="22"/>
  <c r="H46" i="22"/>
  <c r="E4" i="22" l="1"/>
  <c r="E5" i="22"/>
  <c r="E6" i="22"/>
  <c r="E7" i="22"/>
  <c r="E8" i="22"/>
  <c r="E9" i="22"/>
  <c r="E10" i="22"/>
  <c r="E11" i="22"/>
  <c r="J13" i="22" s="1"/>
  <c r="E12" i="22"/>
  <c r="E13" i="22"/>
  <c r="E14" i="22"/>
  <c r="E15" i="22"/>
  <c r="E16" i="22"/>
  <c r="E17" i="22"/>
  <c r="E18" i="22"/>
  <c r="E19" i="22"/>
  <c r="I19" i="22" s="1"/>
  <c r="E20" i="22"/>
  <c r="E21" i="22"/>
  <c r="E22" i="22"/>
  <c r="E23" i="22"/>
  <c r="E3" i="22"/>
  <c r="L3" i="22" s="1"/>
  <c r="B23" i="22"/>
  <c r="B4" i="22"/>
  <c r="D3" i="22" s="1"/>
  <c r="B5" i="22"/>
  <c r="C4" i="22" s="1"/>
  <c r="B3" i="28" s="1"/>
  <c r="A3" i="28" s="1"/>
  <c r="B6" i="22"/>
  <c r="B7" i="22"/>
  <c r="C6" i="22" s="1"/>
  <c r="B5" i="28" s="1"/>
  <c r="A5" i="28" s="1"/>
  <c r="B8" i="22"/>
  <c r="B9" i="22"/>
  <c r="C8" i="22" s="1"/>
  <c r="B7" i="28" s="1"/>
  <c r="A7" i="28" s="1"/>
  <c r="B10" i="22"/>
  <c r="C9" i="22" s="1"/>
  <c r="B8" i="28" s="1"/>
  <c r="A8" i="28" s="1"/>
  <c r="B11" i="22"/>
  <c r="B12" i="22"/>
  <c r="D11" i="22" s="1"/>
  <c r="B13" i="22"/>
  <c r="C13" i="22" s="1"/>
  <c r="B12" i="28" s="1"/>
  <c r="A12" i="28" s="1"/>
  <c r="B14" i="22"/>
  <c r="B15" i="22"/>
  <c r="B16" i="22"/>
  <c r="B17" i="22"/>
  <c r="C16" i="22" s="1"/>
  <c r="B15" i="28" s="1"/>
  <c r="A15" i="28" s="1"/>
  <c r="B18" i="22"/>
  <c r="C17" i="22" s="1"/>
  <c r="B16" i="28" s="1"/>
  <c r="A16" i="28" s="1"/>
  <c r="B19" i="22"/>
  <c r="B20" i="22"/>
  <c r="D19" i="22" s="1"/>
  <c r="B21" i="22"/>
  <c r="C20" i="22" s="1"/>
  <c r="B19" i="28" s="1"/>
  <c r="A19" i="28" s="1"/>
  <c r="B22" i="22"/>
  <c r="B3" i="22"/>
  <c r="L59" i="22"/>
  <c r="L55" i="22"/>
  <c r="L51" i="22"/>
  <c r="L47" i="22"/>
  <c r="L43" i="22"/>
  <c r="L39" i="22"/>
  <c r="L35" i="22"/>
  <c r="L31" i="22"/>
  <c r="L27" i="22"/>
  <c r="L23" i="22"/>
  <c r="J25" i="22"/>
  <c r="K25" i="22" s="1"/>
  <c r="E24" i="28" s="1"/>
  <c r="J23" i="22"/>
  <c r="K23" i="22" s="1"/>
  <c r="H24" i="22" s="1"/>
  <c r="K26" i="22"/>
  <c r="E25" i="28" s="1"/>
  <c r="K62" i="22"/>
  <c r="E61" i="28" s="1"/>
  <c r="K60" i="22"/>
  <c r="E59" i="28" s="1"/>
  <c r="K58" i="22"/>
  <c r="E57" i="28" s="1"/>
  <c r="K56" i="22"/>
  <c r="E55" i="28" s="1"/>
  <c r="K54" i="22"/>
  <c r="E53" i="28" s="1"/>
  <c r="K52" i="22"/>
  <c r="E51" i="28" s="1"/>
  <c r="K50" i="22"/>
  <c r="E49" i="28" s="1"/>
  <c r="K48" i="22"/>
  <c r="E47" i="28" s="1"/>
  <c r="K46" i="22"/>
  <c r="E45" i="28" s="1"/>
  <c r="K44" i="22"/>
  <c r="E43" i="28" s="1"/>
  <c r="K42" i="22"/>
  <c r="E41" i="28" s="1"/>
  <c r="K40" i="22"/>
  <c r="E39" i="28" s="1"/>
  <c r="K38" i="22"/>
  <c r="E37" i="28" s="1"/>
  <c r="K36" i="22"/>
  <c r="E35" i="28" s="1"/>
  <c r="K34" i="22"/>
  <c r="E33" i="28" s="1"/>
  <c r="K32" i="22"/>
  <c r="E31" i="28" s="1"/>
  <c r="K30" i="22"/>
  <c r="E29" i="28" s="1"/>
  <c r="K28" i="22"/>
  <c r="E27" i="28" s="1"/>
  <c r="J21" i="22"/>
  <c r="J45" i="22"/>
  <c r="M43" i="22" s="1"/>
  <c r="J43" i="22"/>
  <c r="H45" i="22" s="1"/>
  <c r="J41" i="22"/>
  <c r="K41" i="22" s="1"/>
  <c r="E40" i="28" s="1"/>
  <c r="J39" i="22"/>
  <c r="J37" i="22"/>
  <c r="K37" i="22" s="1"/>
  <c r="J35" i="22"/>
  <c r="H37" i="22" s="1"/>
  <c r="J33" i="22"/>
  <c r="M31" i="22" s="1"/>
  <c r="J31" i="22"/>
  <c r="K31" i="22" s="1"/>
  <c r="E30" i="28" s="1"/>
  <c r="J29" i="22"/>
  <c r="M27" i="22" s="1"/>
  <c r="J27" i="22"/>
  <c r="H29" i="22" s="1"/>
  <c r="I43" i="22"/>
  <c r="I39" i="22"/>
  <c r="I35" i="22"/>
  <c r="I31" i="22"/>
  <c r="I27" i="22"/>
  <c r="I23" i="22"/>
  <c r="D27" i="22"/>
  <c r="D29" i="22"/>
  <c r="D31" i="22"/>
  <c r="D33" i="22"/>
  <c r="D35" i="22"/>
  <c r="D37" i="22"/>
  <c r="D39" i="22"/>
  <c r="D41" i="22"/>
  <c r="D43" i="22"/>
  <c r="D45" i="22"/>
  <c r="C23" i="22"/>
  <c r="B22" i="28" s="1"/>
  <c r="A22" i="28" s="1"/>
  <c r="C24" i="22"/>
  <c r="B23" i="28" s="1"/>
  <c r="A23" i="28" s="1"/>
  <c r="C25" i="22"/>
  <c r="B24" i="28" s="1"/>
  <c r="A24" i="28" s="1"/>
  <c r="C26" i="22"/>
  <c r="B25" i="28" s="1"/>
  <c r="A25" i="28" s="1"/>
  <c r="C27" i="22"/>
  <c r="B26" i="28" s="1"/>
  <c r="A26" i="28" s="1"/>
  <c r="C28" i="22"/>
  <c r="B27" i="28" s="1"/>
  <c r="A27" i="28" s="1"/>
  <c r="C29" i="22"/>
  <c r="B28" i="28" s="1"/>
  <c r="A28" i="28" s="1"/>
  <c r="C30" i="22"/>
  <c r="B29" i="28" s="1"/>
  <c r="A29" i="28" s="1"/>
  <c r="C31" i="22"/>
  <c r="B30" i="28" s="1"/>
  <c r="A30" i="28" s="1"/>
  <c r="C32" i="22"/>
  <c r="B31" i="28" s="1"/>
  <c r="A31" i="28" s="1"/>
  <c r="C33" i="22"/>
  <c r="B32" i="28" s="1"/>
  <c r="A32" i="28" s="1"/>
  <c r="C34" i="22"/>
  <c r="B33" i="28" s="1"/>
  <c r="A33" i="28" s="1"/>
  <c r="C35" i="22"/>
  <c r="B34" i="28" s="1"/>
  <c r="A34" i="28" s="1"/>
  <c r="C36" i="22"/>
  <c r="B35" i="28" s="1"/>
  <c r="A35" i="28" s="1"/>
  <c r="C37" i="22"/>
  <c r="B36" i="28" s="1"/>
  <c r="A36" i="28" s="1"/>
  <c r="C38" i="22"/>
  <c r="B37" i="28" s="1"/>
  <c r="A37" i="28" s="1"/>
  <c r="D37" i="28" s="1"/>
  <c r="C39" i="22"/>
  <c r="B38" i="28" s="1"/>
  <c r="A38" i="28" s="1"/>
  <c r="C40" i="22"/>
  <c r="B39" i="28" s="1"/>
  <c r="A39" i="28" s="1"/>
  <c r="C41" i="22"/>
  <c r="B40" i="28" s="1"/>
  <c r="A40" i="28" s="1"/>
  <c r="C40" i="28" s="1"/>
  <c r="C42" i="22"/>
  <c r="B41" i="28" s="1"/>
  <c r="A41" i="28" s="1"/>
  <c r="C43" i="22"/>
  <c r="B42" i="28" s="1"/>
  <c r="A42" i="28" s="1"/>
  <c r="C44" i="22"/>
  <c r="B43" i="28" s="1"/>
  <c r="A43" i="28" s="1"/>
  <c r="C45" i="22"/>
  <c r="B44" i="28" s="1"/>
  <c r="A44" i="28" s="1"/>
  <c r="C46" i="22"/>
  <c r="B45" i="28" s="1"/>
  <c r="A45" i="28" s="1"/>
  <c r="C47" i="22"/>
  <c r="B46" i="28" s="1"/>
  <c r="A46" i="28" s="1"/>
  <c r="C46" i="28" s="1"/>
  <c r="C48" i="22"/>
  <c r="B47" i="28" s="1"/>
  <c r="A47" i="28" s="1"/>
  <c r="C49" i="22"/>
  <c r="B48" i="28" s="1"/>
  <c r="A48" i="28" s="1"/>
  <c r="C50" i="22"/>
  <c r="B49" i="28" s="1"/>
  <c r="A49" i="28" s="1"/>
  <c r="C49" i="28" s="1"/>
  <c r="C51" i="22"/>
  <c r="B50" i="28" s="1"/>
  <c r="A50" i="28" s="1"/>
  <c r="C50" i="28" s="1"/>
  <c r="C52" i="22"/>
  <c r="B51" i="28" s="1"/>
  <c r="A51" i="28" s="1"/>
  <c r="C51" i="28" s="1"/>
  <c r="C53" i="22"/>
  <c r="B52" i="28" s="1"/>
  <c r="A52" i="28" s="1"/>
  <c r="C52" i="28" s="1"/>
  <c r="C54" i="22"/>
  <c r="B53" i="28" s="1"/>
  <c r="A53" i="28" s="1"/>
  <c r="C55" i="22"/>
  <c r="B54" i="28" s="1"/>
  <c r="A54" i="28" s="1"/>
  <c r="C54" i="28" s="1"/>
  <c r="C56" i="22"/>
  <c r="B55" i="28" s="1"/>
  <c r="A55" i="28" s="1"/>
  <c r="J47" i="22"/>
  <c r="H49" i="22" s="1"/>
  <c r="J49" i="22"/>
  <c r="M47" i="22" s="1"/>
  <c r="J51" i="22"/>
  <c r="H53" i="22" s="1"/>
  <c r="J53" i="22"/>
  <c r="M51" i="22" s="1"/>
  <c r="J55" i="22"/>
  <c r="H57" i="22" s="1"/>
  <c r="J57" i="22"/>
  <c r="M55" i="22" s="1"/>
  <c r="J59" i="22"/>
  <c r="H61" i="22" s="1"/>
  <c r="J61" i="22"/>
  <c r="C11" i="22"/>
  <c r="B10" i="28" s="1"/>
  <c r="A10" i="28" s="1"/>
  <c r="C12" i="22"/>
  <c r="B11" i="28" s="1"/>
  <c r="A11" i="28" s="1"/>
  <c r="C14" i="22"/>
  <c r="B13" i="28" s="1"/>
  <c r="A13" i="28" s="1"/>
  <c r="C19" i="22"/>
  <c r="B18" i="28" s="1"/>
  <c r="A18" i="28" s="1"/>
  <c r="C18" i="28" s="1"/>
  <c r="C22" i="22"/>
  <c r="B21" i="28" s="1"/>
  <c r="A21" i="28" s="1"/>
  <c r="C57" i="22"/>
  <c r="B56" i="28" s="1"/>
  <c r="A56" i="28" s="1"/>
  <c r="C58" i="22"/>
  <c r="B57" i="28" s="1"/>
  <c r="A57" i="28" s="1"/>
  <c r="C59" i="22"/>
  <c r="B58" i="28" s="1"/>
  <c r="A58" i="28" s="1"/>
  <c r="C60" i="22"/>
  <c r="B59" i="28" s="1"/>
  <c r="A59" i="28" s="1"/>
  <c r="C61" i="22"/>
  <c r="B60" i="28" s="1"/>
  <c r="A60" i="28" s="1"/>
  <c r="C62" i="22"/>
  <c r="B61" i="28" s="1"/>
  <c r="A61" i="28" s="1"/>
  <c r="I47" i="22"/>
  <c r="I51" i="22"/>
  <c r="I55" i="22"/>
  <c r="I59" i="22"/>
  <c r="D55" i="22"/>
  <c r="D57" i="22"/>
  <c r="D59" i="22"/>
  <c r="D61" i="22"/>
  <c r="D25" i="22"/>
  <c r="D47" i="22"/>
  <c r="D49" i="22"/>
  <c r="D51" i="22"/>
  <c r="D53" i="22"/>
  <c r="D23" i="22"/>
  <c r="D21" i="22"/>
  <c r="D15" i="22"/>
  <c r="D13" i="22"/>
  <c r="D5" i="22"/>
  <c r="K49" i="22"/>
  <c r="E48" i="28" s="1"/>
  <c r="K55" i="22"/>
  <c r="H56" i="22" s="1"/>
  <c r="K27" i="22"/>
  <c r="E26" i="28" s="1"/>
  <c r="K35" i="22"/>
  <c r="E34" i="28" s="1"/>
  <c r="E54" i="28"/>
  <c r="K33" i="22"/>
  <c r="H34" i="22" s="1"/>
  <c r="K45" i="22"/>
  <c r="E44" i="28" s="1"/>
  <c r="K61" i="22"/>
  <c r="M59" i="22"/>
  <c r="N59" i="22" s="1"/>
  <c r="F58" i="28" s="1"/>
  <c r="M39" i="22"/>
  <c r="N39" i="22" s="1"/>
  <c r="F38" i="28" s="1"/>
  <c r="K39" i="22"/>
  <c r="H40" i="22" s="1"/>
  <c r="H41" i="22"/>
  <c r="E32" i="28"/>
  <c r="D49" i="28" l="1"/>
  <c r="D9" i="22"/>
  <c r="I3" i="22"/>
  <c r="L7" i="22"/>
  <c r="J7" i="22"/>
  <c r="J5" i="22"/>
  <c r="C5" i="22"/>
  <c r="B4" i="28" s="1"/>
  <c r="A4" i="28" s="1"/>
  <c r="D4" i="28" s="1"/>
  <c r="C15" i="22"/>
  <c r="B14" i="28" s="1"/>
  <c r="A14" i="28" s="1"/>
  <c r="D14" i="28" s="1"/>
  <c r="C7" i="22"/>
  <c r="B6" i="28" s="1"/>
  <c r="A6" i="28" s="1"/>
  <c r="C6" i="28" s="1"/>
  <c r="J3" i="22"/>
  <c r="L11" i="22"/>
  <c r="C3" i="22"/>
  <c r="B2" i="28" s="1"/>
  <c r="A2" i="28" s="1"/>
  <c r="D2" i="28" s="1"/>
  <c r="C21" i="22"/>
  <c r="B20" i="28" s="1"/>
  <c r="A20" i="28" s="1"/>
  <c r="C20" i="28" s="1"/>
  <c r="J17" i="22"/>
  <c r="L15" i="22"/>
  <c r="L19" i="22"/>
  <c r="J19" i="22"/>
  <c r="M19" i="22" s="1"/>
  <c r="M21" i="22" s="1"/>
  <c r="J15" i="22"/>
  <c r="J11" i="22"/>
  <c r="M11" i="22" s="1"/>
  <c r="M13" i="22" s="1"/>
  <c r="I15" i="22"/>
  <c r="J9" i="22"/>
  <c r="I11" i="22"/>
  <c r="I7" i="22"/>
  <c r="C18" i="22"/>
  <c r="B17" i="28" s="1"/>
  <c r="A17" i="28" s="1"/>
  <c r="D17" i="28" s="1"/>
  <c r="D17" i="22"/>
  <c r="C10" i="22"/>
  <c r="B9" i="28" s="1"/>
  <c r="A9" i="28" s="1"/>
  <c r="D7" i="22"/>
  <c r="N40" i="22"/>
  <c r="F39" i="28" s="1"/>
  <c r="C55" i="28"/>
  <c r="D55" i="28"/>
  <c r="M41" i="22"/>
  <c r="K51" i="22"/>
  <c r="M3" i="22"/>
  <c r="N3" i="22" s="1"/>
  <c r="F2" i="28" s="1"/>
  <c r="D18" i="28"/>
  <c r="C5" i="28"/>
  <c r="D5" i="28"/>
  <c r="M49" i="22"/>
  <c r="N47" i="22"/>
  <c r="F46" i="28" s="1"/>
  <c r="D53" i="28"/>
  <c r="C53" i="28"/>
  <c r="N60" i="22"/>
  <c r="F59" i="28" s="1"/>
  <c r="K59" i="22"/>
  <c r="H60" i="22" s="1"/>
  <c r="C29" i="28"/>
  <c r="D29" i="28"/>
  <c r="N28" i="22"/>
  <c r="F27" i="28" s="1"/>
  <c r="N27" i="22"/>
  <c r="F26" i="28" s="1"/>
  <c r="M29" i="22"/>
  <c r="C41" i="28"/>
  <c r="D41" i="28"/>
  <c r="D35" i="28"/>
  <c r="C35" i="28"/>
  <c r="D27" i="28"/>
  <c r="C27" i="28"/>
  <c r="C36" i="28"/>
  <c r="D36" i="28"/>
  <c r="M45" i="22"/>
  <c r="N45" i="22" s="1"/>
  <c r="F44" i="28" s="1"/>
  <c r="N43" i="22"/>
  <c r="F42" i="28" s="1"/>
  <c r="C31" i="28"/>
  <c r="D31" i="28"/>
  <c r="D51" i="28"/>
  <c r="D46" i="28"/>
  <c r="D50" i="28"/>
  <c r="K29" i="22"/>
  <c r="K47" i="22"/>
  <c r="H48" i="22" s="1"/>
  <c r="H25" i="22"/>
  <c r="C22" i="28"/>
  <c r="D22" i="28"/>
  <c r="M23" i="22"/>
  <c r="M25" i="22" s="1"/>
  <c r="N26" i="22" s="1"/>
  <c r="F25" i="28" s="1"/>
  <c r="D9" i="28"/>
  <c r="C9" i="28"/>
  <c r="N55" i="22"/>
  <c r="F54" i="28" s="1"/>
  <c r="M57" i="22"/>
  <c r="N58" i="22" s="1"/>
  <c r="F57" i="28" s="1"/>
  <c r="N56" i="22"/>
  <c r="F55" i="28" s="1"/>
  <c r="D28" i="28"/>
  <c r="C28" i="28"/>
  <c r="C3" i="28"/>
  <c r="D3" i="28"/>
  <c r="C15" i="28"/>
  <c r="D15" i="28"/>
  <c r="C42" i="28"/>
  <c r="D42" i="28"/>
  <c r="E36" i="28"/>
  <c r="N46" i="22"/>
  <c r="F45" i="28" s="1"/>
  <c r="N52" i="22"/>
  <c r="F51" i="28" s="1"/>
  <c r="M53" i="22"/>
  <c r="N51" i="22"/>
  <c r="F50" i="28" s="1"/>
  <c r="D23" i="28"/>
  <c r="C23" i="28"/>
  <c r="N32" i="22"/>
  <c r="F31" i="28" s="1"/>
  <c r="M33" i="22"/>
  <c r="N31" i="22"/>
  <c r="F30" i="28" s="1"/>
  <c r="E60" i="28"/>
  <c r="H28" i="22"/>
  <c r="C37" i="28"/>
  <c r="K53" i="22"/>
  <c r="H32" i="22"/>
  <c r="K57" i="22"/>
  <c r="D54" i="28"/>
  <c r="D40" i="28"/>
  <c r="H36" i="22"/>
  <c r="K43" i="22"/>
  <c r="D52" i="28"/>
  <c r="N44" i="22"/>
  <c r="F43" i="28" s="1"/>
  <c r="M61" i="22"/>
  <c r="M35" i="22"/>
  <c r="N36" i="22" s="1"/>
  <c r="F35" i="28" s="1"/>
  <c r="E22" i="28"/>
  <c r="E38" i="28"/>
  <c r="N48" i="22"/>
  <c r="F47" i="28" s="1"/>
  <c r="H33" i="22"/>
  <c r="N42" i="22"/>
  <c r="F41" i="28" s="1"/>
  <c r="N41" i="22"/>
  <c r="F40" i="28" s="1"/>
  <c r="C2" i="28"/>
  <c r="C60" i="28"/>
  <c r="D60" i="28"/>
  <c r="C58" i="28"/>
  <c r="D58" i="28"/>
  <c r="C57" i="28"/>
  <c r="D57" i="28"/>
  <c r="C21" i="28"/>
  <c r="D21" i="28"/>
  <c r="D19" i="28"/>
  <c r="C19" i="28"/>
  <c r="D11" i="28"/>
  <c r="C11" i="28"/>
  <c r="C8" i="28"/>
  <c r="D8" i="28"/>
  <c r="C7" i="28"/>
  <c r="D7" i="28"/>
  <c r="C47" i="28"/>
  <c r="D47" i="28"/>
  <c r="D44" i="28"/>
  <c r="C44" i="28"/>
  <c r="D38" i="28"/>
  <c r="C38" i="28"/>
  <c r="D34" i="28"/>
  <c r="C34" i="28"/>
  <c r="C32" i="28"/>
  <c r="D32" i="28"/>
  <c r="D25" i="28"/>
  <c r="C25" i="28"/>
  <c r="D61" i="28"/>
  <c r="C61" i="28"/>
  <c r="D59" i="28"/>
  <c r="C59" i="28"/>
  <c r="D56" i="28"/>
  <c r="C56" i="28"/>
  <c r="D16" i="28"/>
  <c r="C16" i="28"/>
  <c r="D13" i="28"/>
  <c r="C13" i="28"/>
  <c r="C12" i="28"/>
  <c r="D12" i="28"/>
  <c r="D10" i="28"/>
  <c r="C10" i="28"/>
  <c r="C48" i="28"/>
  <c r="D48" i="28"/>
  <c r="C45" i="28"/>
  <c r="D45" i="28"/>
  <c r="C43" i="28"/>
  <c r="D43" i="28"/>
  <c r="D39" i="28"/>
  <c r="C39" i="28"/>
  <c r="C33" i="28"/>
  <c r="D33" i="28"/>
  <c r="C30" i="28"/>
  <c r="D30" i="28"/>
  <c r="D26" i="28"/>
  <c r="C26" i="28"/>
  <c r="C24" i="28"/>
  <c r="D24" i="28"/>
  <c r="L65" i="22"/>
  <c r="C17" i="28" l="1"/>
  <c r="C14" i="28"/>
  <c r="D20" i="28"/>
  <c r="D6" i="28"/>
  <c r="I65" i="22"/>
  <c r="K24" i="22"/>
  <c r="E23" i="28" s="1"/>
  <c r="H26" i="22"/>
  <c r="C4" i="28"/>
  <c r="M15" i="22"/>
  <c r="N16" i="22" s="1"/>
  <c r="F15" i="28" s="1"/>
  <c r="J65" i="22"/>
  <c r="N4" i="22"/>
  <c r="F3" i="28" s="1"/>
  <c r="M7" i="22"/>
  <c r="M9" i="22" s="1"/>
  <c r="N23" i="22"/>
  <c r="F22" i="28" s="1"/>
  <c r="M5" i="22"/>
  <c r="N6" i="22" s="1"/>
  <c r="F5" i="28" s="1"/>
  <c r="H5" i="22"/>
  <c r="E58" i="28"/>
  <c r="M17" i="22"/>
  <c r="N18" i="22" s="1"/>
  <c r="F17" i="28" s="1"/>
  <c r="E46" i="28"/>
  <c r="E50" i="28"/>
  <c r="H52" i="22"/>
  <c r="H21" i="22"/>
  <c r="N8" i="22"/>
  <c r="F7" i="28" s="1"/>
  <c r="N24" i="22"/>
  <c r="F23" i="28" s="1"/>
  <c r="N57" i="22"/>
  <c r="F56" i="28" s="1"/>
  <c r="N25" i="22"/>
  <c r="F24" i="28" s="1"/>
  <c r="N49" i="22"/>
  <c r="F48" i="28" s="1"/>
  <c r="N50" i="22"/>
  <c r="F49" i="28" s="1"/>
  <c r="H30" i="22"/>
  <c r="E28" i="28"/>
  <c r="N29" i="22"/>
  <c r="F28" i="28" s="1"/>
  <c r="N30" i="22"/>
  <c r="F29" i="28" s="1"/>
  <c r="N19" i="22"/>
  <c r="F18" i="28" s="1"/>
  <c r="H17" i="22"/>
  <c r="N20" i="22"/>
  <c r="F19" i="28" s="1"/>
  <c r="N15" i="22"/>
  <c r="F14" i="28" s="1"/>
  <c r="N7" i="22"/>
  <c r="F6" i="28" s="1"/>
  <c r="H9" i="22"/>
  <c r="N21" i="22"/>
  <c r="F20" i="28" s="1"/>
  <c r="N22" i="22"/>
  <c r="F21" i="28" s="1"/>
  <c r="H13" i="22"/>
  <c r="N12" i="22"/>
  <c r="F11" i="28" s="1"/>
  <c r="N11" i="22"/>
  <c r="F10" i="28" s="1"/>
  <c r="N53" i="22"/>
  <c r="F52" i="28" s="1"/>
  <c r="N54" i="22"/>
  <c r="F53" i="28" s="1"/>
  <c r="E56" i="28"/>
  <c r="N10" i="22"/>
  <c r="F9" i="28" s="1"/>
  <c r="N9" i="22"/>
  <c r="F8" i="28" s="1"/>
  <c r="E52" i="28"/>
  <c r="N35" i="22"/>
  <c r="F34" i="28" s="1"/>
  <c r="M37" i="22"/>
  <c r="N62" i="22"/>
  <c r="F61" i="28" s="1"/>
  <c r="N61" i="22"/>
  <c r="F60" i="28" s="1"/>
  <c r="H44" i="22"/>
  <c r="E42" i="28"/>
  <c r="N33" i="22"/>
  <c r="F32" i="28" s="1"/>
  <c r="N34" i="22"/>
  <c r="F33" i="28" s="1"/>
  <c r="N14" i="22"/>
  <c r="F13" i="28" s="1"/>
  <c r="N13" i="22"/>
  <c r="F12" i="28" s="1"/>
  <c r="K18" i="22" l="1"/>
  <c r="K14" i="22"/>
  <c r="K6" i="22"/>
  <c r="E5" i="28" s="1"/>
  <c r="K10" i="22"/>
  <c r="H10" i="22"/>
  <c r="K20" i="22"/>
  <c r="E19" i="28" s="1"/>
  <c r="N5" i="22"/>
  <c r="F4" i="28" s="1"/>
  <c r="K4" i="22"/>
  <c r="K3" i="22" s="1"/>
  <c r="K19" i="22"/>
  <c r="E18" i="28" s="1"/>
  <c r="K22" i="22"/>
  <c r="K21" i="22" s="1"/>
  <c r="E20" i="28" s="1"/>
  <c r="N17" i="22"/>
  <c r="F16" i="28" s="1"/>
  <c r="K16" i="22"/>
  <c r="E15" i="28" s="1"/>
  <c r="K8" i="22"/>
  <c r="E7" i="28" s="1"/>
  <c r="K12" i="22"/>
  <c r="K11" i="22" s="1"/>
  <c r="K17" i="22"/>
  <c r="H18" i="22" s="1"/>
  <c r="E17" i="28"/>
  <c r="N38" i="22"/>
  <c r="F37" i="28" s="1"/>
  <c r="N37" i="22"/>
  <c r="K9" i="22"/>
  <c r="E9" i="28"/>
  <c r="E13" i="28"/>
  <c r="K13" i="22"/>
  <c r="H14" i="22" s="1"/>
  <c r="M65" i="22"/>
  <c r="H22" i="22" l="1"/>
  <c r="K5" i="22"/>
  <c r="H6" i="22" s="1"/>
  <c r="K7" i="22"/>
  <c r="E6" i="28" s="1"/>
  <c r="E3" i="28"/>
  <c r="H20" i="22"/>
  <c r="E21" i="28"/>
  <c r="K15" i="22"/>
  <c r="H16" i="22" s="1"/>
  <c r="E11" i="28"/>
  <c r="E12" i="28"/>
  <c r="E4" i="28"/>
  <c r="H12" i="22"/>
  <c r="E10" i="28"/>
  <c r="F36" i="28"/>
  <c r="N65" i="22"/>
  <c r="E2" i="28"/>
  <c r="H4" i="22"/>
  <c r="E8" i="28"/>
  <c r="E16" i="28"/>
  <c r="K65" i="22" l="1"/>
  <c r="E14" i="28"/>
  <c r="H8" i="22"/>
  <c r="O14" i="22" s="1"/>
  <c r="O15" i="22" l="1"/>
  <c r="O16" i="22"/>
</calcChain>
</file>

<file path=xl/sharedStrings.xml><?xml version="1.0" encoding="utf-8"?>
<sst xmlns="http://schemas.openxmlformats.org/spreadsheetml/2006/main" count="81" uniqueCount="79">
  <si>
    <t>X</t>
  </si>
  <si>
    <t>Y</t>
  </si>
  <si>
    <t>Estimated Number Events</t>
  </si>
  <si>
    <t>Estimated Number Censorships</t>
  </si>
  <si>
    <t>Start time</t>
  </si>
  <si>
    <t>Mid time</t>
  </si>
  <si>
    <t>Empirical survival probability S(t)</t>
  </si>
  <si>
    <t>Number at risk R(t)</t>
  </si>
  <si>
    <t>D(t,t+1)</t>
  </si>
  <si>
    <t>D(t,t+1/2), D(t+1/2,t+1)</t>
  </si>
  <si>
    <t>D(t,t+1/4), D(t+1/4,t+1/2), D(t+1/2,t+3/4), D(t+3/4,t+1)</t>
  </si>
  <si>
    <t>C(t,t+1)</t>
  </si>
  <si>
    <t>C(t,t+1/2), C(t+1/2,t+1)</t>
  </si>
  <si>
    <t>C(t,t+1/4), C(t+1/4,t+1/2), C(t+1/2,t+3/4), C(t+3/4,t+1)</t>
  </si>
  <si>
    <t>Patients at risk at last time point ?</t>
  </si>
  <si>
    <t>patients risk at last time point</t>
  </si>
  <si>
    <t>time of censoring of patients at risk at last time point</t>
  </si>
  <si>
    <t>Total</t>
  </si>
  <si>
    <t>start_time_event</t>
  </si>
  <si>
    <t>start_time_censor</t>
  </si>
  <si>
    <t>end_time_event</t>
  </si>
  <si>
    <t>end_time_censor</t>
  </si>
  <si>
    <t>n_events</t>
  </si>
  <si>
    <t>n_censors</t>
  </si>
  <si>
    <t>#'"R" statistics code to fit survival curves to the estimated individual patient data</t>
  </si>
  <si>
    <t>library(survival)</t>
  </si>
  <si>
    <t>#    Step 4.   Update directory name and text file name in line below</t>
  </si>
  <si>
    <t>attach(data)</t>
  </si>
  <si>
    <t>data</t>
  </si>
  <si>
    <t>#  adding times for patients at risk at last time point</t>
  </si>
  <si>
    <t>#   Step 5. choose one of these function forms</t>
  </si>
  <si>
    <t>#   Compare AIC values</t>
  </si>
  <si>
    <t>AIC_exp</t>
  </si>
  <si>
    <t>AIC_wei</t>
  </si>
  <si>
    <t>AIC_logn</t>
  </si>
  <si>
    <t>AIC_logl</t>
  </si>
  <si>
    <t>#  Intercept and logscale parameters</t>
  </si>
  <si>
    <t xml:space="preserve">intercept_exp  </t>
  </si>
  <si>
    <t>intercept_wei</t>
  </si>
  <si>
    <t xml:space="preserve">log_scale_wei </t>
  </si>
  <si>
    <t>intercept_logn</t>
  </si>
  <si>
    <t>log_scale_logn</t>
  </si>
  <si>
    <t xml:space="preserve">intercept_logl  </t>
  </si>
  <si>
    <t xml:space="preserve">log_scale_logl  </t>
  </si>
  <si>
    <t>#  For the Probabilistic Sensitivity Analysis, we need the Cholesky matrix, which captures the variance and covariance of parameters</t>
  </si>
  <si>
    <t>cholesky_exp</t>
  </si>
  <si>
    <t>cholesky_wei</t>
  </si>
  <si>
    <t>cholesky_logn</t>
  </si>
  <si>
    <t>cholesky_logl</t>
  </si>
  <si>
    <t>Add image of Figure 1 from Bahl 2013 and check the x-axis and y-axis values</t>
  </si>
  <si>
    <t>Use the number at risk values in the next sheet</t>
  </si>
  <si>
    <t># Identify patients at risk at last time point via KM-curve</t>
  </si>
  <si>
    <t>n_patients_at_risk</t>
  </si>
  <si>
    <t>n_last_time_point</t>
  </si>
  <si>
    <t>rm(list = ls(all = TRUE))</t>
  </si>
  <si>
    <t>data&lt;-read.table("ADD FILE NAME", header = T)</t>
  </si>
  <si>
    <t>times_start &lt;-c(rep(start_time_censor, n_censors), rep(start_time_event, n_events))</t>
  </si>
  <si>
    <t>times_end   &lt;-c(rep(end_time_censor, n_censors), rep(end_time_event, n_events))</t>
  </si>
  <si>
    <t>times_start &lt;- c(times_start, rep("LAST TIME POINT" ,"PATIENTS AT RISK AT LAST TIME POINT)) # Identify patients at risk at last time point via KM-curve</t>
  </si>
  <si>
    <t>times_end   &lt;- c(times_end, rep(10000, "PATIENTS AT RISK AT LAST TIME POINT"))               # Identify patients at risk at last time point via KM-curve</t>
  </si>
  <si>
    <t>model_exp  &lt;- survreg(Surv(times_start, times_end, type = "interval2")~1, dist = "exponential")   # Exponential function, interval censoring</t>
  </si>
  <si>
    <t>model_wei  &lt;- survreg(Surv(times_start, times_end, type = "interval2")~1, dist = "weibull")      # Weibull function, interval censoring</t>
  </si>
  <si>
    <t>model_logn &lt;- survreg(Surv(times_start, times_end, type = "interval2")~1, dist = "lognormal")   # Lognormal function, interval censoring</t>
  </si>
  <si>
    <t>model_logl &lt;- survreg(Surv(times_start, times_end, type = "interval2")~1, dist = "loglogistic")   # Loglogistic function, interval censoring</t>
  </si>
  <si>
    <t>AIC_exp&lt;- -2*summary(model_exp)$loglik[1] + 2*1   #  AIC for exponential distribution</t>
  </si>
  <si>
    <t>AIC_wei&lt;--2*summary(model_wei)$loglik[1] + 2*2   #  AIC for Weibull, which is a 2-parameter distribution</t>
  </si>
  <si>
    <t>AIC_logn&lt;--2*summary(model_logn)$loglik[1] + 2*2   #  AIC for lognormal, which is a 2-parameter distribution</t>
  </si>
  <si>
    <t>AIC_logl&lt;--2*summary(model_logl)$loglik[1] + 2*2   #  AIC for log-logistic, which is a 2-parameter distribution</t>
  </si>
  <si>
    <t>intercept_exp &lt;- summary(model_exp)$table[1]   # intercept parameter for exponential</t>
  </si>
  <si>
    <t>intercept_wei &lt;- summary(model_wei)$table[1]   # intercept parameter for Weibull</t>
  </si>
  <si>
    <t>log_scale_wei &lt;- summary(model_wei)$table[2]   # log scale parameter for Weibull</t>
  </si>
  <si>
    <t>intercept_logn &lt;- summary(model_logn)$table[1]   # intercept parameter for lognormal</t>
  </si>
  <si>
    <t>log_scale_logn &lt;- summary(model_logn)$table[2]   # log scale parameter for lognormal</t>
  </si>
  <si>
    <t>intercept_logl &lt;- summary(model_logl)$table[1]   # intercept parameter for loglogistic</t>
  </si>
  <si>
    <t>log_scale_logl &lt;- summary(model_logl)$table[2]   # log scale parameter for loglogistic</t>
  </si>
  <si>
    <t>cholesky_exp&lt;-t(chol(summary(model_exp)$var))    #  Cholesky matrix for exponential</t>
  </si>
  <si>
    <t>cholesky_wei&lt;-t(chol(summary(model_wei)$var))    #  Cholesky matrix for weibull</t>
  </si>
  <si>
    <t>cholesky_logn&lt;-t(chol(summary(model_logn)$var))    #  Cholesky matrix for lognormal</t>
  </si>
  <si>
    <t>cholesky_logl&lt;-t(chol(summary(model_logl)$var))    #  Cholesky matrix for loglogistic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</si>
</sst>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0.0000"/>
    <numFmt numFmtId="166" formatCode="0.0"/>
    <numFmt numFmtId="167" formatCode="0.000"/>
  </numFmts>
  <fonts count="2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sz val="10"/>
      <color rgb="FFFF0000"/>
      <name val="Arial"/>
      <family val="2"/>
    </font>
    <font>
      <b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Arial"/>
      <family val="2"/>
    </font>
    <font>
      <b/>
      <sz val="10"/>
      <color theme="9"/>
      <name val="Arial"/>
      <family val="2"/>
    </font>
    <font>
      <b/>
      <sz val="12"/>
      <name val="Arial"/>
      <family val="2"/>
    </font>
    <font>
      <b/>
      <sz val="11"/>
      <color theme="9" tint="-0.249977111117893"/>
      <name val="Consolas"/>
      <family val="3"/>
    </font>
    <font>
      <b/>
      <sz val="11"/>
      <color indexed="10"/>
      <name val="Consolas"/>
      <family val="3"/>
    </font>
    <font>
      <sz val="11"/>
      <color theme="1"/>
      <name val="Consolas"/>
      <family val="3"/>
    </font>
    <font>
      <b/>
      <sz val="11"/>
      <color indexed="12"/>
      <name val="Consolas"/>
      <family val="3"/>
    </font>
    <font>
      <b/>
      <sz val="16"/>
      <color theme="9" tint="-0.249977111117893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2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3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5" fillId="2" borderId="0" xfId="0" applyFont="1" applyFill="1"/>
    <xf numFmtId="0" fontId="7" fillId="3" borderId="0" xfId="0" applyFont="1" applyFill="1"/>
    <xf numFmtId="1" fontId="7" fillId="3" borderId="0" xfId="0" applyNumberFormat="1" applyFont="1" applyFill="1"/>
    <xf numFmtId="0" fontId="6" fillId="3" borderId="0" xfId="0" applyFont="1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3" fillId="3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1" fontId="5" fillId="2" borderId="0" xfId="0" applyNumberFormat="1" applyFont="1" applyFill="1"/>
    <xf numFmtId="0" fontId="0" fillId="2" borderId="12" xfId="0" applyFill="1" applyBorder="1"/>
    <xf numFmtId="1" fontId="2" fillId="2" borderId="8" xfId="0" applyNumberFormat="1" applyFont="1" applyFill="1" applyBorder="1" applyAlignment="1">
      <alignment horizontal="right"/>
    </xf>
    <xf numFmtId="1" fontId="2" fillId="2" borderId="4" xfId="0" applyNumberFormat="1" applyFont="1" applyFill="1" applyBorder="1" applyAlignment="1">
      <alignment horizontal="right"/>
    </xf>
    <xf numFmtId="1" fontId="2" fillId="2" borderId="5" xfId="0" applyNumberFormat="1" applyFont="1" applyFill="1" applyBorder="1" applyAlignment="1">
      <alignment horizontal="right"/>
    </xf>
    <xf numFmtId="0" fontId="2" fillId="2" borderId="0" xfId="0" applyFont="1" applyFill="1"/>
    <xf numFmtId="0" fontId="9" fillId="2" borderId="0" xfId="0" applyFont="1" applyFill="1"/>
    <xf numFmtId="164" fontId="9" fillId="2" borderId="0" xfId="1" applyFont="1" applyFill="1" applyBorder="1"/>
    <xf numFmtId="0" fontId="2" fillId="2" borderId="16" xfId="0" applyFont="1" applyFill="1" applyBorder="1" applyAlignment="1">
      <alignment horizontal="right" wrapText="1"/>
    </xf>
    <xf numFmtId="2" fontId="1" fillId="3" borderId="13" xfId="1" applyNumberFormat="1" applyFont="1" applyFill="1" applyBorder="1"/>
    <xf numFmtId="165" fontId="1" fillId="3" borderId="13" xfId="0" applyNumberFormat="1" applyFont="1" applyFill="1" applyBorder="1" applyAlignment="1">
      <alignment horizontal="right"/>
    </xf>
    <xf numFmtId="0" fontId="2" fillId="2" borderId="15" xfId="0" applyFont="1" applyFill="1" applyBorder="1" applyAlignment="1">
      <alignment horizontal="right" wrapText="1"/>
    </xf>
    <xf numFmtId="0" fontId="2" fillId="2" borderId="17" xfId="0" applyFont="1" applyFill="1" applyBorder="1" applyAlignment="1">
      <alignment horizontal="right" wrapText="1"/>
    </xf>
    <xf numFmtId="0" fontId="2" fillId="2" borderId="9" xfId="0" applyFont="1" applyFill="1" applyBorder="1" applyAlignment="1">
      <alignment horizontal="right" wrapText="1"/>
    </xf>
    <xf numFmtId="0" fontId="2" fillId="2" borderId="9" xfId="0" quotePrefix="1" applyFont="1" applyFill="1" applyBorder="1" applyAlignment="1">
      <alignment horizontal="right" wrapText="1"/>
    </xf>
    <xf numFmtId="2" fontId="1" fillId="2" borderId="0" xfId="1" applyNumberFormat="1" applyFont="1" applyFill="1" applyBorder="1"/>
    <xf numFmtId="165" fontId="1" fillId="2" borderId="6" xfId="0" applyNumberFormat="1" applyFont="1" applyFill="1" applyBorder="1"/>
    <xf numFmtId="165" fontId="1" fillId="2" borderId="2" xfId="0" applyNumberFormat="1" applyFont="1" applyFill="1" applyBorder="1"/>
    <xf numFmtId="0" fontId="1" fillId="3" borderId="7" xfId="0" applyFont="1" applyFill="1" applyBorder="1" applyAlignment="1">
      <alignment horizontal="right"/>
    </xf>
    <xf numFmtId="1" fontId="1" fillId="2" borderId="2" xfId="0" applyNumberFormat="1" applyFont="1" applyFill="1" applyBorder="1" applyAlignment="1">
      <alignment horizontal="right"/>
    </xf>
    <xf numFmtId="1" fontId="1" fillId="2" borderId="2" xfId="1" applyNumberFormat="1" applyFont="1" applyFill="1" applyBorder="1" applyAlignment="1">
      <alignment horizontal="right"/>
    </xf>
    <xf numFmtId="165" fontId="1" fillId="2" borderId="7" xfId="0" applyNumberFormat="1" applyFont="1" applyFill="1" applyBorder="1"/>
    <xf numFmtId="165" fontId="1" fillId="2" borderId="3" xfId="0" applyNumberFormat="1" applyFont="1" applyFill="1" applyBorder="1"/>
    <xf numFmtId="166" fontId="1" fillId="2" borderId="7" xfId="0" applyNumberFormat="1" applyFont="1" applyFill="1" applyBorder="1" applyAlignment="1">
      <alignment horizontal="right"/>
    </xf>
    <xf numFmtId="1" fontId="1" fillId="2" borderId="7" xfId="0" applyNumberFormat="1" applyFont="1" applyFill="1" applyBorder="1" applyAlignment="1">
      <alignment horizontal="right"/>
    </xf>
    <xf numFmtId="1" fontId="1" fillId="2" borderId="0" xfId="0" applyNumberFormat="1" applyFont="1" applyFill="1" applyAlignment="1">
      <alignment horizontal="right"/>
    </xf>
    <xf numFmtId="1" fontId="1" fillId="2" borderId="3" xfId="0" applyNumberFormat="1" applyFont="1" applyFill="1" applyBorder="1" applyAlignment="1">
      <alignment horizontal="right"/>
    </xf>
    <xf numFmtId="1" fontId="1" fillId="2" borderId="3" xfId="1" applyNumberFormat="1" applyFont="1" applyFill="1" applyBorder="1" applyAlignment="1">
      <alignment horizontal="right"/>
    </xf>
    <xf numFmtId="0" fontId="1" fillId="2" borderId="0" xfId="0" applyFont="1" applyFill="1"/>
    <xf numFmtId="0" fontId="1" fillId="0" borderId="7" xfId="0" applyFont="1" applyBorder="1" applyAlignment="1">
      <alignment horizontal="right"/>
    </xf>
    <xf numFmtId="0" fontId="1" fillId="2" borderId="10" xfId="0" applyFont="1" applyFill="1" applyBorder="1"/>
    <xf numFmtId="2" fontId="1" fillId="3" borderId="14" xfId="1" applyNumberFormat="1" applyFont="1" applyFill="1" applyBorder="1"/>
    <xf numFmtId="2" fontId="1" fillId="2" borderId="12" xfId="1" applyNumberFormat="1" applyFont="1" applyFill="1" applyBorder="1"/>
    <xf numFmtId="165" fontId="1" fillId="3" borderId="14" xfId="0" applyNumberFormat="1" applyFont="1" applyFill="1" applyBorder="1" applyAlignment="1">
      <alignment horizontal="right"/>
    </xf>
    <xf numFmtId="0" fontId="1" fillId="2" borderId="11" xfId="0" applyFont="1" applyFill="1" applyBorder="1"/>
    <xf numFmtId="0" fontId="1" fillId="3" borderId="8" xfId="0" applyFont="1" applyFill="1" applyBorder="1" applyAlignment="1">
      <alignment horizontal="right"/>
    </xf>
    <xf numFmtId="1" fontId="1" fillId="2" borderId="18" xfId="0" applyNumberFormat="1" applyFont="1" applyFill="1" applyBorder="1" applyAlignment="1">
      <alignment horizontal="right"/>
    </xf>
    <xf numFmtId="1" fontId="1" fillId="2" borderId="12" xfId="0" applyNumberFormat="1" applyFont="1" applyFill="1" applyBorder="1" applyAlignment="1">
      <alignment horizontal="right"/>
    </xf>
    <xf numFmtId="1" fontId="1" fillId="2" borderId="19" xfId="0" applyNumberFormat="1" applyFont="1" applyFill="1" applyBorder="1" applyAlignment="1">
      <alignment horizontal="right"/>
    </xf>
    <xf numFmtId="2" fontId="1" fillId="2" borderId="0" xfId="1" applyNumberFormat="1" applyFont="1" applyFill="1"/>
    <xf numFmtId="165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0" fillId="5" borderId="0" xfId="0" applyFont="1" applyFill="1"/>
    <xf numFmtId="0" fontId="11" fillId="5" borderId="0" xfId="0" applyFont="1" applyFill="1"/>
    <xf numFmtId="0" fontId="0" fillId="5" borderId="0" xfId="0" applyFill="1"/>
    <xf numFmtId="0" fontId="10" fillId="2" borderId="6" xfId="0" applyFont="1" applyFill="1" applyBorder="1" applyAlignment="1">
      <alignment horizontal="right"/>
    </xf>
    <xf numFmtId="0" fontId="10" fillId="2" borderId="7" xfId="0" applyFont="1" applyFill="1" applyBorder="1"/>
    <xf numFmtId="0" fontId="10" fillId="2" borderId="8" xfId="0" applyFont="1" applyFill="1" applyBorder="1"/>
    <xf numFmtId="0" fontId="13" fillId="3" borderId="0" xfId="0" applyFont="1" applyFill="1"/>
    <xf numFmtId="0" fontId="12" fillId="6" borderId="21" xfId="0" applyFont="1" applyFill="1" applyBorder="1" applyAlignment="1">
      <alignment horizontal="center"/>
    </xf>
    <xf numFmtId="0" fontId="12" fillId="6" borderId="22" xfId="0" applyFont="1" applyFill="1" applyBorder="1" applyAlignment="1">
      <alignment horizontal="center"/>
    </xf>
    <xf numFmtId="0" fontId="12" fillId="5" borderId="21" xfId="0" applyFont="1" applyFill="1" applyBorder="1"/>
    <xf numFmtId="167" fontId="12" fillId="5" borderId="22" xfId="0" applyNumberFormat="1" applyFont="1" applyFill="1" applyBorder="1"/>
    <xf numFmtId="0" fontId="12" fillId="5" borderId="10" xfId="0" applyFont="1" applyFill="1" applyBorder="1"/>
    <xf numFmtId="167" fontId="12" fillId="5" borderId="23" xfId="0" applyNumberFormat="1" applyFont="1" applyFill="1" applyBorder="1"/>
    <xf numFmtId="0" fontId="12" fillId="5" borderId="11" xfId="0" applyFont="1" applyFill="1" applyBorder="1"/>
    <xf numFmtId="167" fontId="12" fillId="5" borderId="24" xfId="0" applyNumberFormat="1" applyFont="1" applyFill="1" applyBorder="1"/>
    <xf numFmtId="0" fontId="14" fillId="6" borderId="21" xfId="0" applyFont="1" applyFill="1" applyBorder="1" applyAlignment="1">
      <alignment horizontal="center"/>
    </xf>
    <xf numFmtId="0" fontId="12" fillId="2" borderId="0" xfId="0" applyFont="1" applyFill="1" applyAlignment="1">
      <alignment horizontal="right"/>
    </xf>
    <xf numFmtId="1" fontId="12" fillId="2" borderId="0" xfId="0" applyNumberFormat="1" applyFont="1" applyFill="1" applyAlignment="1">
      <alignment horizontal="right"/>
    </xf>
    <xf numFmtId="0" fontId="1" fillId="3" borderId="0" xfId="0" applyFont="1" applyFill="1" applyAlignment="1">
      <alignment horizontal="right"/>
    </xf>
    <xf numFmtId="0" fontId="15" fillId="3" borderId="0" xfId="0" applyFont="1" applyFill="1"/>
    <xf numFmtId="0" fontId="16" fillId="3" borderId="0" xfId="0" applyFont="1" applyFill="1"/>
    <xf numFmtId="0" fontId="17" fillId="3" borderId="0" xfId="0" applyFont="1" applyFill="1"/>
    <xf numFmtId="0" fontId="18" fillId="3" borderId="0" xfId="0" applyFont="1" applyFill="1"/>
    <xf numFmtId="0" fontId="17" fillId="0" borderId="0" xfId="0" quotePrefix="1" applyFont="1" applyAlignment="1">
      <alignment horizontal="left"/>
    </xf>
    <xf numFmtId="0" fontId="17" fillId="3" borderId="0" xfId="0" quotePrefix="1" applyFont="1" applyFill="1" applyAlignment="1">
      <alignment horizontal="left"/>
    </xf>
    <xf numFmtId="1" fontId="18" fillId="3" borderId="0" xfId="0" applyNumberFormat="1" applyFont="1" applyFill="1"/>
    <xf numFmtId="1" fontId="17" fillId="3" borderId="0" xfId="0" quotePrefix="1" applyNumberFormat="1" applyFont="1" applyFill="1" applyAlignment="1">
      <alignment horizontal="left"/>
    </xf>
    <xf numFmtId="1" fontId="15" fillId="3" borderId="0" xfId="0" quotePrefix="1" applyNumberFormat="1" applyFont="1" applyFill="1" applyAlignment="1">
      <alignment horizontal="left"/>
    </xf>
    <xf numFmtId="1" fontId="18" fillId="3" borderId="0" xfId="0" quotePrefix="1" applyNumberFormat="1" applyFont="1" applyFill="1" applyAlignment="1">
      <alignment horizontal="left"/>
    </xf>
    <xf numFmtId="1" fontId="15" fillId="3" borderId="0" xfId="0" applyNumberFormat="1" applyFont="1" applyFill="1"/>
    <xf numFmtId="0" fontId="19" fillId="3" borderId="0" xfId="0" applyFont="1" applyFill="1"/>
    <xf numFmtId="1" fontId="1" fillId="2" borderId="0" xfId="0" applyNumberFormat="1" applyFont="1" applyFill="1" applyAlignment="1">
      <alignment horizontal="right"/>
    </xf>
    <xf numFmtId="1" fontId="1" fillId="2" borderId="7" xfId="0" applyNumberFormat="1" applyFont="1" applyFill="1" applyBorder="1" applyAlignment="1">
      <alignment horizontal="right"/>
    </xf>
    <xf numFmtId="2" fontId="1" fillId="2" borderId="0" xfId="0" applyNumberFormat="1" applyFont="1" applyFill="1" applyAlignment="1">
      <alignment horizontal="center"/>
    </xf>
    <xf numFmtId="1" fontId="1" fillId="2" borderId="1" xfId="0" applyNumberFormat="1" applyFont="1" applyFill="1" applyBorder="1" applyAlignment="1">
      <alignment horizontal="right"/>
    </xf>
    <xf numFmtId="0" fontId="8" fillId="4" borderId="20" xfId="0" applyFont="1" applyFill="1" applyBorder="1" applyAlignment="1">
      <alignment horizontal="center" wrapText="1"/>
    </xf>
    <xf numFmtId="1" fontId="1" fillId="2" borderId="6" xfId="0" applyNumberFormat="1" applyFont="1" applyFill="1" applyBorder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90072388831438E-2"/>
          <c:y val="4.4067796610169491E-2"/>
          <c:w val="0.88314374353671143"/>
          <c:h val="0.82203389830508478"/>
        </c:manualLayout>
      </c:layout>
      <c:scatterChart>
        <c:scatterStyle val="lineMarker"/>
        <c:varyColors val="0"/>
        <c:ser>
          <c:idx val="0"/>
          <c:order val="0"/>
          <c:tx>
            <c:strRef>
              <c:f>'Number events &amp; censored'!$E$2</c:f>
              <c:strCache>
                <c:ptCount val="1"/>
                <c:pt idx="0">
                  <c:v>Empirical survival probability S(t)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'Number events &amp; censored'!$B$3:$B$63</c:f>
              <c:numCache>
                <c:formatCode>0.00</c:formatCode>
                <c:ptCount val="6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censored'!$E$3:$E$63</c:f>
              <c:numCache>
                <c:formatCode>0.0000</c:formatCode>
                <c:ptCount val="61"/>
                <c:pt idx="0">
                  <c:v>1</c:v>
                </c:pt>
                <c:pt idx="1">
                  <c:v>0.98</c:v>
                </c:pt>
                <c:pt idx="2">
                  <c:v>0.95499999999999996</c:v>
                </c:pt>
                <c:pt idx="3">
                  <c:v>0.91</c:v>
                </c:pt>
                <c:pt idx="4">
                  <c:v>0.86</c:v>
                </c:pt>
                <c:pt idx="5">
                  <c:v>0.81</c:v>
                </c:pt>
                <c:pt idx="6">
                  <c:v>0.76</c:v>
                </c:pt>
                <c:pt idx="7">
                  <c:v>0.7</c:v>
                </c:pt>
                <c:pt idx="8">
                  <c:v>0.65</c:v>
                </c:pt>
                <c:pt idx="9">
                  <c:v>0.56999999999999995</c:v>
                </c:pt>
                <c:pt idx="10">
                  <c:v>0.5</c:v>
                </c:pt>
                <c:pt idx="11">
                  <c:v>0.45</c:v>
                </c:pt>
                <c:pt idx="12">
                  <c:v>0.39500000000000002</c:v>
                </c:pt>
                <c:pt idx="13">
                  <c:v>0.37</c:v>
                </c:pt>
                <c:pt idx="14">
                  <c:v>0.32500000000000001</c:v>
                </c:pt>
                <c:pt idx="15">
                  <c:v>0.31</c:v>
                </c:pt>
                <c:pt idx="16">
                  <c:v>0.28000000000000003</c:v>
                </c:pt>
                <c:pt idx="17">
                  <c:v>0.25</c:v>
                </c:pt>
                <c:pt idx="18">
                  <c:v>0.25</c:v>
                </c:pt>
                <c:pt idx="19">
                  <c:v>0.23</c:v>
                </c:pt>
                <c:pt idx="20">
                  <c:v>0.19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8-4446-8739-A847AAE7DB95}"/>
            </c:ext>
          </c:extLst>
        </c:ser>
        <c:ser>
          <c:idx val="1"/>
          <c:order val="1"/>
          <c:spPr>
            <a:ln w="285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censored'!$F$3:$F$23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68-4446-8739-A847AAE7DB95}"/>
            </c:ext>
          </c:extLst>
        </c:ser>
        <c:ser>
          <c:idx val="2"/>
          <c:order val="2"/>
          <c:spPr>
            <a:ln w="28575" cap="rnd" cmpd="sng" algn="ctr">
              <a:solidFill>
                <a:schemeClr val="accent5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censored'!$G$3:$G$23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68-4446-8739-A847AAE7D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421440"/>
        <c:axId val="80855496"/>
      </c:scatterChart>
      <c:valAx>
        <c:axId val="8342144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000000"/>
              </a:solidFill>
              <a:prstDash val="solid"/>
              <a:round/>
            </a:ln>
            <a:effectLst/>
          </c:spPr>
        </c:majorGridlines>
        <c:minorGridlines>
          <c:spPr>
            <a:ln w="3175" cap="flat" cmpd="sng" algn="ctr">
              <a:solidFill>
                <a:srgbClr val="000000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Time</a:t>
                </a:r>
              </a:p>
            </c:rich>
          </c:tx>
          <c:layout>
            <c:manualLayout>
              <c:xMode val="edge"/>
              <c:yMode val="edge"/>
              <c:x val="0.50258531540847984"/>
              <c:y val="0.94067796610169496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NL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80855496"/>
        <c:crosses val="autoZero"/>
        <c:crossBetween val="midCat"/>
        <c:minorUnit val="0.5"/>
      </c:valAx>
      <c:valAx>
        <c:axId val="80855496"/>
        <c:scaling>
          <c:orientation val="minMax"/>
          <c:max val="1"/>
        </c:scaling>
        <c:delete val="0"/>
        <c:axPos val="l"/>
        <c:majorGridlines>
          <c:spPr>
            <a:ln w="3175" cap="flat" cmpd="sng" algn="ctr">
              <a:solidFill>
                <a:srgbClr val="000000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Survival probability S(t)</a:t>
                </a:r>
              </a:p>
            </c:rich>
          </c:tx>
          <c:layout>
            <c:manualLayout>
              <c:xMode val="edge"/>
              <c:yMode val="edge"/>
              <c:x val="8.2730093071354711E-3"/>
              <c:y val="0.26610169491525426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NL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83421440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3"/>
  <sheetViews>
    <sheetView zoomScale="115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279400</xdr:colOff>
      <xdr:row>3</xdr:row>
      <xdr:rowOff>114300</xdr:rowOff>
    </xdr:from>
    <xdr:to>
      <xdr:col>14</xdr:col>
      <xdr:colOff>165100</xdr:colOff>
      <xdr:row>22</xdr:row>
      <xdr:rowOff>107550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1361416-C6BE-3C40-984F-3316537D4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8700" y="723900"/>
          <a:ext cx="7289800" cy="3854050"/>
        </a:xfrm>
        <a:prstGeom prst="rect">
          <a:avLst/>
        </a:prstGeom>
      </xdr:spPr>
    </xdr:pic>
    <xdr:clientData/>
  </xdr:twoCellAnchor>
  <xdr:twoCellAnchor>
    <xdr:from>
      <xdr:col>5</xdr:col>
      <xdr:colOff>155241</xdr:colOff>
      <xdr:row>19</xdr:row>
      <xdr:rowOff>85170</xdr:rowOff>
    </xdr:from>
    <xdr:to>
      <xdr:col>12</xdr:col>
      <xdr:colOff>366878</xdr:colOff>
      <xdr:row>20</xdr:row>
      <xdr:rowOff>38100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D2ADDF9F-C1E3-E646-9722-80A90D78068D}"/>
            </a:ext>
          </a:extLst>
        </xdr:cNvPr>
        <xdr:cNvSpPr/>
      </xdr:nvSpPr>
      <xdr:spPr>
        <a:xfrm>
          <a:off x="3520741" y="3945970"/>
          <a:ext cx="4923337" cy="156130"/>
        </a:xfrm>
        <a:prstGeom prst="round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63500</xdr:colOff>
      <xdr:row>16</xdr:row>
      <xdr:rowOff>49593</xdr:rowOff>
    </xdr:from>
    <xdr:to>
      <xdr:col>21</xdr:col>
      <xdr:colOff>163146</xdr:colOff>
      <xdr:row>33</xdr:row>
      <xdr:rowOff>54882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0001F9-F9ED-FD46-B03B-147980974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49429" y="3478593"/>
          <a:ext cx="5533431" cy="2781146"/>
        </a:xfrm>
        <a:prstGeom prst="rect">
          <a:avLst/>
        </a:prstGeom>
      </xdr:spPr>
    </xdr:pic>
    <xdr:clientData/>
  </xdr:twoCellAnchor>
  <xdr:twoCellAnchor>
    <xdr:from>
      <xdr:col>15</xdr:col>
      <xdr:colOff>338667</xdr:colOff>
      <xdr:row>30</xdr:row>
      <xdr:rowOff>88424</xdr:rowOff>
    </xdr:from>
    <xdr:to>
      <xdr:col>20</xdr:col>
      <xdr:colOff>508000</xdr:colOff>
      <xdr:row>31</xdr:row>
      <xdr:rowOff>27215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3743CDD8-85A2-E340-AFBD-CF1E255923AA}"/>
            </a:ext>
          </a:extLst>
        </xdr:cNvPr>
        <xdr:cNvSpPr/>
      </xdr:nvSpPr>
      <xdr:spPr>
        <a:xfrm>
          <a:off x="11823096" y="5803424"/>
          <a:ext cx="3661833" cy="102077"/>
        </a:xfrm>
        <a:prstGeom prst="round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609" cy="60628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G22"/>
  <sheetViews>
    <sheetView workbookViewId="0">
      <selection activeCell="C15" sqref="C15"/>
    </sheetView>
  </sheetViews>
  <sheetFormatPr baseColWidth="10" defaultColWidth="8.83203125" defaultRowHeight="13" x14ac:dyDescent="0.15"/>
  <cols>
    <col min="1" max="59" width="8.83203125" style="58"/>
  </cols>
  <sheetData>
    <row r="1" spans="1:5" ht="16" x14ac:dyDescent="0.2">
      <c r="A1" s="63" t="s">
        <v>0</v>
      </c>
      <c r="B1" s="64" t="s">
        <v>1</v>
      </c>
    </row>
    <row r="2" spans="1:5" ht="16" x14ac:dyDescent="0.2">
      <c r="A2" s="65">
        <v>0</v>
      </c>
      <c r="B2" s="66">
        <v>1</v>
      </c>
      <c r="E2" s="56" t="s">
        <v>49</v>
      </c>
    </row>
    <row r="3" spans="1:5" ht="16" x14ac:dyDescent="0.2">
      <c r="A3" s="67">
        <v>1.5</v>
      </c>
      <c r="B3" s="68">
        <v>0.98</v>
      </c>
      <c r="E3" s="57" t="s">
        <v>50</v>
      </c>
    </row>
    <row r="4" spans="1:5" ht="16" x14ac:dyDescent="0.2">
      <c r="A4" s="67">
        <v>3</v>
      </c>
      <c r="B4" s="68">
        <v>0.95499999999999996</v>
      </c>
    </row>
    <row r="5" spans="1:5" ht="16" x14ac:dyDescent="0.2">
      <c r="A5" s="67">
        <v>4.5</v>
      </c>
      <c r="B5" s="68">
        <v>0.91</v>
      </c>
    </row>
    <row r="6" spans="1:5" ht="16" x14ac:dyDescent="0.2">
      <c r="A6" s="67">
        <v>6</v>
      </c>
      <c r="B6" s="68">
        <v>0.86</v>
      </c>
    </row>
    <row r="7" spans="1:5" ht="16" x14ac:dyDescent="0.2">
      <c r="A7" s="67">
        <v>7.5</v>
      </c>
      <c r="B7" s="68">
        <v>0.81</v>
      </c>
    </row>
    <row r="8" spans="1:5" ht="16" x14ac:dyDescent="0.2">
      <c r="A8" s="67">
        <v>9</v>
      </c>
      <c r="B8" s="68">
        <v>0.76</v>
      </c>
    </row>
    <row r="9" spans="1:5" ht="16" x14ac:dyDescent="0.2">
      <c r="A9" s="67">
        <v>10.5</v>
      </c>
      <c r="B9" s="68">
        <v>0.7</v>
      </c>
    </row>
    <row r="10" spans="1:5" ht="16" x14ac:dyDescent="0.2">
      <c r="A10" s="67">
        <v>12</v>
      </c>
      <c r="B10" s="68">
        <v>0.65</v>
      </c>
    </row>
    <row r="11" spans="1:5" ht="16" x14ac:dyDescent="0.2">
      <c r="A11" s="67">
        <v>13.5</v>
      </c>
      <c r="B11" s="68">
        <v>0.56999999999999995</v>
      </c>
    </row>
    <row r="12" spans="1:5" ht="16" x14ac:dyDescent="0.2">
      <c r="A12" s="67">
        <v>15</v>
      </c>
      <c r="B12" s="68">
        <v>0.5</v>
      </c>
    </row>
    <row r="13" spans="1:5" ht="16" x14ac:dyDescent="0.2">
      <c r="A13" s="67">
        <v>16.5</v>
      </c>
      <c r="B13" s="68">
        <v>0.45</v>
      </c>
    </row>
    <row r="14" spans="1:5" ht="16" x14ac:dyDescent="0.2">
      <c r="A14" s="67">
        <v>18</v>
      </c>
      <c r="B14" s="68">
        <v>0.39500000000000002</v>
      </c>
    </row>
    <row r="15" spans="1:5" ht="16" x14ac:dyDescent="0.2">
      <c r="A15" s="67">
        <v>19.5</v>
      </c>
      <c r="B15" s="68">
        <v>0.37</v>
      </c>
    </row>
    <row r="16" spans="1:5" ht="16" x14ac:dyDescent="0.2">
      <c r="A16" s="67">
        <v>21</v>
      </c>
      <c r="B16" s="68">
        <v>0.32500000000000001</v>
      </c>
    </row>
    <row r="17" spans="1:2" ht="16" x14ac:dyDescent="0.2">
      <c r="A17" s="67">
        <v>22.5</v>
      </c>
      <c r="B17" s="68">
        <v>0.31</v>
      </c>
    </row>
    <row r="18" spans="1:2" ht="16" x14ac:dyDescent="0.2">
      <c r="A18" s="67">
        <v>24</v>
      </c>
      <c r="B18" s="68">
        <v>0.28000000000000003</v>
      </c>
    </row>
    <row r="19" spans="1:2" ht="16" x14ac:dyDescent="0.2">
      <c r="A19" s="67">
        <v>25.5</v>
      </c>
      <c r="B19" s="68">
        <v>0.25</v>
      </c>
    </row>
    <row r="20" spans="1:2" ht="16" x14ac:dyDescent="0.2">
      <c r="A20" s="67">
        <v>27</v>
      </c>
      <c r="B20" s="68">
        <v>0.25</v>
      </c>
    </row>
    <row r="21" spans="1:2" ht="16" x14ac:dyDescent="0.2">
      <c r="A21" s="67">
        <v>28.5</v>
      </c>
      <c r="B21" s="68">
        <v>0.23</v>
      </c>
    </row>
    <row r="22" spans="1:2" ht="16" x14ac:dyDescent="0.2">
      <c r="A22" s="69">
        <v>30</v>
      </c>
      <c r="B22" s="70">
        <v>0.19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102"/>
  <sheetViews>
    <sheetView tabSelected="1" topLeftCell="M1" zoomScale="110" zoomScaleNormal="110" workbookViewId="0">
      <pane ySplit="2" topLeftCell="A3" activePane="bottomLeft" state="frozenSplit"/>
      <selection activeCell="B45" sqref="B45"/>
      <selection pane="bottomLeft" activeCell="E22" sqref="E22"/>
    </sheetView>
  </sheetViews>
  <sheetFormatPr baseColWidth="10" defaultColWidth="9.1640625" defaultRowHeight="13" x14ac:dyDescent="0.15"/>
  <cols>
    <col min="1" max="1" width="8.83203125" customWidth="1"/>
    <col min="2" max="2" width="5.5" style="1" customWidth="1"/>
    <col min="3" max="4" width="8.83203125" style="1" bestFit="1" customWidth="1"/>
    <col min="5" max="5" width="11" style="1" customWidth="1"/>
    <col min="6" max="7" width="9.1640625" style="1"/>
    <col min="8" max="8" width="8.5" style="1" bestFit="1" customWidth="1"/>
    <col min="9" max="10" width="10.83203125" style="1" customWidth="1"/>
    <col min="11" max="11" width="14.6640625" style="1" customWidth="1"/>
    <col min="12" max="12" width="9.83203125" style="1" customWidth="1"/>
    <col min="13" max="13" width="10.83203125" style="1" customWidth="1"/>
    <col min="14" max="14" width="14.83203125" style="1" customWidth="1"/>
    <col min="15" max="20" width="9.1640625" style="1"/>
    <col min="21" max="22" width="16.33203125" style="1" bestFit="1" customWidth="1"/>
    <col min="23" max="16384" width="9.1640625" style="1"/>
  </cols>
  <sheetData>
    <row r="1" spans="1:20" ht="27" customHeight="1" thickBot="1" x14ac:dyDescent="0.2">
      <c r="A1" s="2"/>
      <c r="F1" s="3"/>
      <c r="G1" s="3"/>
      <c r="I1" s="91" t="s">
        <v>2</v>
      </c>
      <c r="J1" s="91"/>
      <c r="K1" s="91"/>
      <c r="L1" s="91" t="s">
        <v>3</v>
      </c>
      <c r="M1" s="91"/>
      <c r="N1" s="91"/>
    </row>
    <row r="2" spans="1:20" s="2" customFormat="1" ht="60" customHeight="1" thickBot="1" x14ac:dyDescent="0.2">
      <c r="B2" s="25" t="s">
        <v>4</v>
      </c>
      <c r="C2" s="22" t="s">
        <v>5</v>
      </c>
      <c r="D2" s="22" t="s">
        <v>5</v>
      </c>
      <c r="E2" s="22" t="s">
        <v>6</v>
      </c>
      <c r="F2" s="22"/>
      <c r="G2" s="22"/>
      <c r="H2" s="26" t="s">
        <v>7</v>
      </c>
      <c r="I2" s="27" t="s">
        <v>8</v>
      </c>
      <c r="J2" s="28" t="s">
        <v>9</v>
      </c>
      <c r="K2" s="27" t="s">
        <v>10</v>
      </c>
      <c r="L2" s="27" t="s">
        <v>11</v>
      </c>
      <c r="M2" s="27" t="s">
        <v>12</v>
      </c>
      <c r="N2" s="27" t="s">
        <v>13</v>
      </c>
    </row>
    <row r="3" spans="1:20" x14ac:dyDescent="0.15">
      <c r="A3" s="1"/>
      <c r="B3" s="23">
        <f>XY!A2</f>
        <v>0</v>
      </c>
      <c r="C3" s="29">
        <f>IF(B4="","",AVERAGE(B3:B4))</f>
        <v>0.75</v>
      </c>
      <c r="D3" s="89">
        <f>B4</f>
        <v>1.5</v>
      </c>
      <c r="E3" s="24">
        <f>XY!B2</f>
        <v>1</v>
      </c>
      <c r="F3" s="30"/>
      <c r="G3" s="31"/>
      <c r="H3" s="32">
        <v>378</v>
      </c>
      <c r="I3" s="92">
        <f>IF(E7="","",(H3+H7)*(E3-E7)/(E3+E7))</f>
        <v>52.612903225806463</v>
      </c>
      <c r="J3" s="90">
        <f>IF(E5="","",MAX( H3 + 3*H7 - (3*E7 + E5) *  (E5*H3 + E5*H7 + 2*E3*H7) / (E3*E5 + E5*E7 + 2*E3*E7), 0))</f>
        <v>16.959850413293907</v>
      </c>
      <c r="K3" s="33">
        <f>IF(J3="","",MAX(J3-K4, 0))</f>
        <v>7.5522756490685126</v>
      </c>
      <c r="L3" s="92">
        <f>IF(E7="","",MAX(2*(E7*H3 - E3*H7)/(E3+E7), 0))</f>
        <v>4.3870967741935312</v>
      </c>
      <c r="M3" s="90">
        <f>IF(J5="","",MAX( (H3-H7 - J3 - J5)/2, 0))</f>
        <v>2.2288705202643548</v>
      </c>
      <c r="N3" s="34">
        <f>IF(M3="","",M3/2)</f>
        <v>1.1144352601321774</v>
      </c>
    </row>
    <row r="4" spans="1:20" x14ac:dyDescent="0.15">
      <c r="A4" s="1"/>
      <c r="B4" s="23">
        <f>XY!A3</f>
        <v>1.5</v>
      </c>
      <c r="C4" s="29">
        <f t="shared" ref="C4:C62" si="0">IF(B5="","",AVERAGE(B4:B5))</f>
        <v>2.25</v>
      </c>
      <c r="D4" s="89"/>
      <c r="E4" s="24">
        <f>XY!B3</f>
        <v>0.98</v>
      </c>
      <c r="F4" s="35"/>
      <c r="G4" s="36"/>
      <c r="H4" s="37">
        <f>IF(K3="","",H3-K3-N3)</f>
        <v>369.33328909079933</v>
      </c>
      <c r="I4" s="88"/>
      <c r="J4" s="87"/>
      <c r="K4" s="40">
        <f>IF(E4="","",MAX((E4-E5) * (E4*H3 + E4*H5 + 2*E3*H5) / (E3*E4 + E4*E5 + 2*E3*E5), 0))</f>
        <v>9.4075747642253944</v>
      </c>
      <c r="L4" s="88"/>
      <c r="M4" s="87"/>
      <c r="N4" s="41">
        <f>IF(M3="","",M3/2)</f>
        <v>1.1144352601321774</v>
      </c>
    </row>
    <row r="5" spans="1:20" x14ac:dyDescent="0.15">
      <c r="A5" s="1"/>
      <c r="B5" s="23">
        <f>XY!A4</f>
        <v>3</v>
      </c>
      <c r="C5" s="29">
        <f t="shared" si="0"/>
        <v>3.75</v>
      </c>
      <c r="D5" s="89">
        <f>B6</f>
        <v>4.5</v>
      </c>
      <c r="E5" s="24">
        <f>XY!B4</f>
        <v>0.95499999999999996</v>
      </c>
      <c r="F5" s="35"/>
      <c r="G5" s="36"/>
      <c r="H5" s="37">
        <f>IF(J3="","",H3-J3-M3)</f>
        <v>358.81127906644173</v>
      </c>
      <c r="I5" s="88"/>
      <c r="J5" s="87">
        <f>IF(E5="","",MAX((E5-E7) * (E5*H3 + E5*H7 + 2*E3*H7) / (E3*E5 + E5*E7 + 2*E3*E7), 0))</f>
        <v>35.582408546177383</v>
      </c>
      <c r="K5" s="40">
        <f>IF(J5="","",MAX(J5-K6, 0))</f>
        <v>16.887132474985712</v>
      </c>
      <c r="L5" s="88"/>
      <c r="M5" s="87">
        <f>M3</f>
        <v>2.2288705202643548</v>
      </c>
      <c r="N5" s="41">
        <f>IF(M5="","",M5/2)</f>
        <v>1.1144352601321774</v>
      </c>
      <c r="O5" s="3"/>
      <c r="P5" s="3"/>
    </row>
    <row r="6" spans="1:20" x14ac:dyDescent="0.15">
      <c r="A6" s="1"/>
      <c r="B6" s="23">
        <f>XY!A5</f>
        <v>4.5</v>
      </c>
      <c r="C6" s="29">
        <f t="shared" si="0"/>
        <v>5.25</v>
      </c>
      <c r="D6" s="89"/>
      <c r="E6" s="24">
        <f>XY!B5</f>
        <v>0.91</v>
      </c>
      <c r="F6" s="35"/>
      <c r="G6" s="36"/>
      <c r="H6" s="37">
        <f>IF(H5="","",H5-K5-N5)</f>
        <v>340.80971133132385</v>
      </c>
      <c r="I6" s="88"/>
      <c r="J6" s="87"/>
      <c r="K6" s="40">
        <f>IF(E6="","",MAX((E6-E7) * (E6*H5 + E6*H7 + 2*E5*H7) / (E5*E6 + E6*E7 + 2*E5*E7), 0))</f>
        <v>18.695276071191671</v>
      </c>
      <c r="L6" s="88"/>
      <c r="M6" s="87"/>
      <c r="N6" s="41">
        <f>IF(M5="","",M5/2)</f>
        <v>1.1144352601321774</v>
      </c>
      <c r="O6" s="21"/>
      <c r="P6" s="20"/>
    </row>
    <row r="7" spans="1:20" x14ac:dyDescent="0.15">
      <c r="A7" s="1"/>
      <c r="B7" s="23">
        <f>XY!A6</f>
        <v>6</v>
      </c>
      <c r="C7" s="29">
        <f t="shared" si="0"/>
        <v>6.75</v>
      </c>
      <c r="D7" s="89">
        <f>B8</f>
        <v>7.5</v>
      </c>
      <c r="E7" s="24">
        <f>XY!B6</f>
        <v>0.86</v>
      </c>
      <c r="F7" s="35"/>
      <c r="G7" s="36"/>
      <c r="H7" s="32">
        <v>321</v>
      </c>
      <c r="I7" s="88">
        <f>IF(E11="","",(H7+H11)*(E7-E11)/(E7+E11))</f>
        <v>78.158940397350975</v>
      </c>
      <c r="J7" s="87">
        <f>IF(E9="","",MAX( H7 + 3*H11 - (3*E11 + E9) *  (E9*H7 + E9*H11 + 2*E7*H11) / (E7*E9 + E9*E11 + 2*E7*E11), 0))</f>
        <v>37.271362994350284</v>
      </c>
      <c r="K7" s="40">
        <f>IF(J7="","",MAX(J7-K8, 0))</f>
        <v>18.650990319569004</v>
      </c>
      <c r="L7" s="88">
        <f>IF(E11="","",MAX(2*(E11*H7 - E7*H11)/(E7+E11), 0))</f>
        <v>1.8410596026490262</v>
      </c>
      <c r="M7" s="87">
        <f>IF(J9="","",MAX( (H7-H11 - J7 - J9)/2, 0))</f>
        <v>0.93255649717514544</v>
      </c>
      <c r="N7" s="41">
        <f>IF(M7="","",M7/2)</f>
        <v>0.46627824858757272</v>
      </c>
      <c r="O7" s="20"/>
    </row>
    <row r="8" spans="1:20" x14ac:dyDescent="0.15">
      <c r="A8" s="1"/>
      <c r="B8" s="23">
        <f>XY!A7</f>
        <v>7.5</v>
      </c>
      <c r="C8" s="29">
        <f t="shared" si="0"/>
        <v>8.25</v>
      </c>
      <c r="D8" s="89"/>
      <c r="E8" s="24">
        <f>XY!B7</f>
        <v>0.81</v>
      </c>
      <c r="F8" s="35"/>
      <c r="G8" s="36"/>
      <c r="H8" s="37">
        <f>IF(K7="","",H7-K7-N7)</f>
        <v>301.88273143184341</v>
      </c>
      <c r="I8" s="88"/>
      <c r="J8" s="87"/>
      <c r="K8" s="40">
        <f>IF(E8="","",MAX((E8-E9) * (E8*H7 + E8*H9 + 2*E7*H9) / (E7*E8 + E8*E9 + 2*E7*E9), 0))</f>
        <v>18.620372674781279</v>
      </c>
      <c r="L8" s="88"/>
      <c r="M8" s="87"/>
      <c r="N8" s="41">
        <f>IF(M7="","",M7/2)</f>
        <v>0.46627824858757272</v>
      </c>
      <c r="O8" s="3"/>
    </row>
    <row r="9" spans="1:20" x14ac:dyDescent="0.15">
      <c r="A9" s="1"/>
      <c r="B9" s="23">
        <f>XY!A8</f>
        <v>9</v>
      </c>
      <c r="C9" s="29">
        <f t="shared" si="0"/>
        <v>9.75</v>
      </c>
      <c r="D9" s="89">
        <f>B10</f>
        <v>10.5</v>
      </c>
      <c r="E9" s="24">
        <f>XY!B8</f>
        <v>0.76</v>
      </c>
      <c r="F9" s="35"/>
      <c r="G9" s="36"/>
      <c r="H9" s="37">
        <f>IF(J7="","",H7-J7-M7)</f>
        <v>282.79608050847457</v>
      </c>
      <c r="I9" s="88"/>
      <c r="J9" s="87">
        <f>IF(E9="","",MAX((E9-E11) * (E9*H7 + E9*H11 + 2*E7*H11) / (E7*E9 + E9*E11 + 2*E7*E11), 0))</f>
        <v>40.863524011299425</v>
      </c>
      <c r="K9" s="40">
        <f>IF(J9="","",MAX(J9-K10, 0))</f>
        <v>22.307137774440406</v>
      </c>
      <c r="L9" s="88"/>
      <c r="M9" s="87">
        <f>M7</f>
        <v>0.93255649717514544</v>
      </c>
      <c r="N9" s="41">
        <f>IF(M9="","",M9/2)</f>
        <v>0.46627824858757272</v>
      </c>
    </row>
    <row r="10" spans="1:20" x14ac:dyDescent="0.15">
      <c r="A10" s="1"/>
      <c r="B10" s="23">
        <f>XY!A9</f>
        <v>10.5</v>
      </c>
      <c r="C10" s="29">
        <f t="shared" si="0"/>
        <v>11.25</v>
      </c>
      <c r="D10" s="89"/>
      <c r="E10" s="24">
        <f>XY!B9</f>
        <v>0.7</v>
      </c>
      <c r="F10" s="35"/>
      <c r="G10" s="36"/>
      <c r="H10" s="37">
        <f>IF(H9="","",H9-K9-N9)</f>
        <v>260.02266448544657</v>
      </c>
      <c r="I10" s="88"/>
      <c r="J10" s="87"/>
      <c r="K10" s="40">
        <f>IF(E10="","",MAX((E10-E11) * (E10*H9 + E10*H11 + 2*E9*H11) / (E9*E10 + E10*E11 + 2*E9*E11), 0))</f>
        <v>18.556386236859019</v>
      </c>
      <c r="L10" s="88"/>
      <c r="M10" s="87"/>
      <c r="N10" s="41">
        <f>IF(M9="","",M9/2)</f>
        <v>0.46627824858757272</v>
      </c>
      <c r="O10" s="21"/>
    </row>
    <row r="11" spans="1:20" x14ac:dyDescent="0.15">
      <c r="A11" s="1"/>
      <c r="B11" s="23">
        <f>XY!A10</f>
        <v>12</v>
      </c>
      <c r="C11" s="29">
        <f t="shared" si="0"/>
        <v>12.75</v>
      </c>
      <c r="D11" s="89">
        <f>B12</f>
        <v>13.5</v>
      </c>
      <c r="E11" s="24">
        <f>XY!B10</f>
        <v>0.65</v>
      </c>
      <c r="F11" s="35"/>
      <c r="G11" s="36"/>
      <c r="H11" s="32">
        <v>241</v>
      </c>
      <c r="I11" s="88">
        <f>IF(E15="","",(H11+H15)*(E11-E15)/(E11+E15))</f>
        <v>92.239234449760772</v>
      </c>
      <c r="J11" s="87">
        <f>IF(E13="","",MAX( H11 + 3*H15 - (3*E15 + E13) *  (E13*H11 + E13*H15 + 2*E11*H15) / (E11*E13 + E13*E15 + 2*E11*E15), 0))</f>
        <v>54.930984555984537</v>
      </c>
      <c r="K11" s="40">
        <f>IF(J11="","",MAX(J11-K12, 0))</f>
        <v>29.503251834753172</v>
      </c>
      <c r="L11" s="88">
        <f>IF(E15="","",MAX(2*(E15*H11 - E11*H15)/(E11+E15), 0))</f>
        <v>11.760765550239254</v>
      </c>
      <c r="M11" s="87">
        <f>IF(J13="","",MAX( (H11-H15 - J11 - J13)/2, 0))</f>
        <v>5.9314671814671946</v>
      </c>
      <c r="N11" s="41">
        <f>IF(M11="","",M11/2)</f>
        <v>2.9657335907335973</v>
      </c>
      <c r="O11" s="14"/>
    </row>
    <row r="12" spans="1:20" x14ac:dyDescent="0.15">
      <c r="A12" s="1"/>
      <c r="B12" s="23">
        <f>XY!A11</f>
        <v>13.5</v>
      </c>
      <c r="C12" s="29">
        <f t="shared" si="0"/>
        <v>14.25</v>
      </c>
      <c r="D12" s="89"/>
      <c r="E12" s="24">
        <f>XY!B11</f>
        <v>0.56999999999999995</v>
      </c>
      <c r="F12" s="35"/>
      <c r="G12" s="36"/>
      <c r="H12" s="37">
        <f>IF(K11="","",H11-K11-N11)</f>
        <v>208.53101457451322</v>
      </c>
      <c r="I12" s="88"/>
      <c r="J12" s="87"/>
      <c r="K12" s="40">
        <f>IF(E12="","",MAX((E12-E13) * (E12*H11 + E12*H13 + 2*E11*H13) / (E11*E12 + E12*E13 + 2*E11*E13), 0))</f>
        <v>25.427732721231365</v>
      </c>
      <c r="L12" s="88"/>
      <c r="M12" s="87"/>
      <c r="N12" s="41">
        <f>IF(M11="","",M11/2)</f>
        <v>2.9657335907335973</v>
      </c>
    </row>
    <row r="13" spans="1:20" ht="14" thickBot="1" x14ac:dyDescent="0.2">
      <c r="A13" s="1"/>
      <c r="B13" s="23">
        <f>XY!A12</f>
        <v>15</v>
      </c>
      <c r="C13" s="29">
        <f t="shared" si="0"/>
        <v>15.75</v>
      </c>
      <c r="D13" s="89">
        <f>B14</f>
        <v>16.5</v>
      </c>
      <c r="E13" s="24">
        <f>XY!B12</f>
        <v>0.5</v>
      </c>
      <c r="F13" s="35"/>
      <c r="G13" s="36"/>
      <c r="H13" s="37">
        <f>IF(J11="","",H11-J11-M11)</f>
        <v>180.13754826254828</v>
      </c>
      <c r="I13" s="88"/>
      <c r="J13" s="87">
        <f>IF(E13="","",MAX((E13-E15) * (E13*H11 + E13*H15 + 2*E11*H15) / (E11*E13 + E13*E15 + 2*E11*E15), 0))</f>
        <v>37.206081081081074</v>
      </c>
      <c r="K13" s="40">
        <f>IF(J13="","",MAX(J13-K14, 0))</f>
        <v>17.921650721321669</v>
      </c>
      <c r="L13" s="88"/>
      <c r="M13" s="87">
        <f>M11</f>
        <v>5.9314671814671946</v>
      </c>
      <c r="N13" s="41">
        <f>IF(M13="","",M13/2)</f>
        <v>2.9657335907335973</v>
      </c>
    </row>
    <row r="14" spans="1:20" x14ac:dyDescent="0.15">
      <c r="A14" s="1"/>
      <c r="B14" s="23">
        <f>XY!A13</f>
        <v>16.5</v>
      </c>
      <c r="C14" s="29">
        <f t="shared" si="0"/>
        <v>17.25</v>
      </c>
      <c r="D14" s="89"/>
      <c r="E14" s="24">
        <f>XY!B13</f>
        <v>0.45</v>
      </c>
      <c r="F14" s="35"/>
      <c r="G14" s="36"/>
      <c r="H14" s="37">
        <f>IF(H13="","",H13-K13-N13)</f>
        <v>159.250163950493</v>
      </c>
      <c r="I14" s="88"/>
      <c r="J14" s="87"/>
      <c r="K14" s="40">
        <f>IF(E14="","",MAX((E14-E15) * (E14*H13 + E14*H15 + 2*E13*H15) / (E13*E14 + E14*E15 + 2*E13*E15), 0))</f>
        <v>19.284430359759405</v>
      </c>
      <c r="L14" s="88"/>
      <c r="M14" s="87"/>
      <c r="N14" s="41">
        <f>IF(M13="","",M13/2)</f>
        <v>2.9657335907335973</v>
      </c>
      <c r="O14" s="59" t="str">
        <f>IF(MIN(H3:H63)&gt;0,"Yes","No")</f>
        <v>Yes</v>
      </c>
      <c r="P14" s="7" t="s">
        <v>14</v>
      </c>
      <c r="Q14" s="7"/>
      <c r="R14" s="7"/>
      <c r="S14" s="7"/>
      <c r="T14" s="8"/>
    </row>
    <row r="15" spans="1:20" x14ac:dyDescent="0.15">
      <c r="A15" s="1"/>
      <c r="B15" s="23">
        <f>XY!A14</f>
        <v>18</v>
      </c>
      <c r="C15" s="29">
        <f t="shared" si="0"/>
        <v>18.75</v>
      </c>
      <c r="D15" s="89">
        <f>B16</f>
        <v>19.5</v>
      </c>
      <c r="E15" s="24">
        <f>XY!B14</f>
        <v>0.39500000000000002</v>
      </c>
      <c r="F15" s="35"/>
      <c r="G15" s="36"/>
      <c r="H15" s="32">
        <v>137</v>
      </c>
      <c r="I15" s="88">
        <f>IF(E19="","",(H15+H19)*(E15-E19)/(E15+E19))</f>
        <v>33.562962962962956</v>
      </c>
      <c r="J15" s="87">
        <f>IF(E17="","",MAX( H15 + 3*H19 - (3*E19 + E17) *  (E17*H15 + E17*H19 + 2*E15*H19) / (E15*E17 + E17*E19 + 2*E15*E19), 0))</f>
        <v>22.362026896669079</v>
      </c>
      <c r="K15" s="40">
        <f>IF(J15="","",MAX(J15-K16, 0))</f>
        <v>8.7213087501551758</v>
      </c>
      <c r="L15" s="88">
        <f>IF(E19="","",MAX(2*(E19*H15 - E15*H19)/(E15+E19), 0))</f>
        <v>43.437037037037044</v>
      </c>
      <c r="M15" s="87">
        <f>IF(J17="","",MAX( (H15-H19 - J15 - J17)/2, 0))</f>
        <v>21.628553594734178</v>
      </c>
      <c r="N15" s="41">
        <f>IF(M15="","",M15/2)</f>
        <v>10.814276797367089</v>
      </c>
      <c r="O15" s="60">
        <f>IF(O14="Yes",MIN(H3:H63),"")</f>
        <v>19</v>
      </c>
      <c r="P15" s="1" t="s">
        <v>15</v>
      </c>
      <c r="T15" s="9"/>
    </row>
    <row r="16" spans="1:20" ht="14" thickBot="1" x14ac:dyDescent="0.2">
      <c r="A16" s="1"/>
      <c r="B16" s="23">
        <f>XY!A15</f>
        <v>19.5</v>
      </c>
      <c r="C16" s="29">
        <f t="shared" si="0"/>
        <v>20.25</v>
      </c>
      <c r="D16" s="89"/>
      <c r="E16" s="24">
        <f>XY!B15</f>
        <v>0.37</v>
      </c>
      <c r="F16" s="35"/>
      <c r="G16" s="36"/>
      <c r="H16" s="37">
        <f>IF(K15="","",H15-K15-N15)</f>
        <v>117.46441445247774</v>
      </c>
      <c r="I16" s="88"/>
      <c r="J16" s="87"/>
      <c r="K16" s="40">
        <f>IF(E16="","",MAX((E16-E17) * (E16*H15 + E16*H17 + 2*E15*H17) / (E15*E16 + E16*E17 + 2*E15*E17), 0))</f>
        <v>13.640718146513903</v>
      </c>
      <c r="L16" s="88"/>
      <c r="M16" s="87"/>
      <c r="N16" s="41">
        <f>IF(M15="","",M15/2)</f>
        <v>10.814276797367089</v>
      </c>
      <c r="O16" s="61">
        <f>IF(O14="Yes",MAX(B3:B63),"")</f>
        <v>30</v>
      </c>
      <c r="P16" s="10" t="s">
        <v>16</v>
      </c>
      <c r="Q16" s="10"/>
      <c r="R16" s="10"/>
      <c r="S16" s="10"/>
      <c r="T16" s="11"/>
    </row>
    <row r="17" spans="2:17" s="1" customFormat="1" x14ac:dyDescent="0.15">
      <c r="B17" s="23">
        <f>XY!A16</f>
        <v>21</v>
      </c>
      <c r="C17" s="29">
        <f t="shared" si="0"/>
        <v>21.75</v>
      </c>
      <c r="D17" s="89">
        <f>B18</f>
        <v>22.5</v>
      </c>
      <c r="E17" s="24">
        <f>XY!B16</f>
        <v>0.32500000000000001</v>
      </c>
      <c r="F17" s="35"/>
      <c r="G17" s="36"/>
      <c r="H17" s="37">
        <f>IF(J15="","",H15-J15-M15)</f>
        <v>93.00941950859675</v>
      </c>
      <c r="I17" s="88"/>
      <c r="J17" s="87">
        <f>IF(E17="","",MAX((E17-E19) * (E17*H15 + E17*H19 + 2*E15*H19) / (E15*E17 + E17*E19 + 2*E15*E19), 0))</f>
        <v>11.380865913862563</v>
      </c>
      <c r="K17" s="40">
        <f>IF(J17="","",MAX(J17-K18, 0))</f>
        <v>4.3642576025922422</v>
      </c>
      <c r="L17" s="88"/>
      <c r="M17" s="87">
        <f>M15</f>
        <v>21.628553594734178</v>
      </c>
      <c r="N17" s="41">
        <f>IF(M17="","",M17/2)</f>
        <v>10.814276797367089</v>
      </c>
    </row>
    <row r="18" spans="2:17" s="1" customFormat="1" x14ac:dyDescent="0.15">
      <c r="B18" s="23">
        <f>XY!A17</f>
        <v>22.5</v>
      </c>
      <c r="C18" s="29">
        <f t="shared" si="0"/>
        <v>23.25</v>
      </c>
      <c r="D18" s="89"/>
      <c r="E18" s="24">
        <f>XY!B17</f>
        <v>0.31</v>
      </c>
      <c r="F18" s="35"/>
      <c r="G18" s="36"/>
      <c r="H18" s="37">
        <f>IF(H17="","",H17-K17-N17)</f>
        <v>77.830885108637418</v>
      </c>
      <c r="I18" s="88"/>
      <c r="J18" s="87"/>
      <c r="K18" s="40">
        <f>IF(E18="","",MAX((E18-E19) * (E18*H17 + E18*H19 + 2*E17*H19) / (E17*E18 + E18*E19 + 2*E17*E19), 0))</f>
        <v>7.0166083112703204</v>
      </c>
      <c r="L18" s="88"/>
      <c r="M18" s="87"/>
      <c r="N18" s="41">
        <f>IF(M17="","",M17/2)</f>
        <v>10.814276797367089</v>
      </c>
    </row>
    <row r="19" spans="2:17" s="1" customFormat="1" x14ac:dyDescent="0.15">
      <c r="B19" s="23">
        <f>XY!A18</f>
        <v>24</v>
      </c>
      <c r="C19" s="29">
        <f t="shared" si="0"/>
        <v>24.75</v>
      </c>
      <c r="D19" s="89">
        <f>B20</f>
        <v>25.5</v>
      </c>
      <c r="E19" s="24">
        <f>XY!B18</f>
        <v>0.28000000000000003</v>
      </c>
      <c r="F19" s="35"/>
      <c r="G19" s="36"/>
      <c r="H19" s="32">
        <v>60</v>
      </c>
      <c r="I19" s="88">
        <f>IF(E23="","",(H19+H23)*(E19-E23)/(E19+E23))</f>
        <v>15.127659574468089</v>
      </c>
      <c r="J19" s="87">
        <f>IF(E21="","",MAX( H19 + 3*H23 - (3*E23 + E21) *  (E21*H19 + E21*H23 + 2*E19*H23) / (E19*E21 + E21*E23 + 2*E19*E23), 0))</f>
        <v>5.7012058954890534</v>
      </c>
      <c r="K19" s="40">
        <f>IF(J19="","",MAX(J19-K20, 0))</f>
        <v>5.7012058954890534</v>
      </c>
      <c r="L19" s="88">
        <f>IF(E23="","",MAX(2*(E23*H19 - E19*H23)/(E19+E23), 0))</f>
        <v>25.872340425531913</v>
      </c>
      <c r="M19" s="87">
        <f>IF(J21="","",MAX( (H19-H23 - J19 - J21)/2, 0))</f>
        <v>13.577489950870927</v>
      </c>
      <c r="N19" s="41">
        <f>IF(M19="","",M19/2)</f>
        <v>6.7887449754354634</v>
      </c>
    </row>
    <row r="20" spans="2:17" s="1" customFormat="1" x14ac:dyDescent="0.15">
      <c r="B20" s="23">
        <f>XY!A19</f>
        <v>25.5</v>
      </c>
      <c r="C20" s="29">
        <f t="shared" si="0"/>
        <v>26.25</v>
      </c>
      <c r="D20" s="89"/>
      <c r="E20" s="24">
        <f>XY!B19</f>
        <v>0.25</v>
      </c>
      <c r="F20" s="35"/>
      <c r="G20" s="36"/>
      <c r="H20" s="37">
        <f>IF(K19="","",H19-K19-N19)</f>
        <v>47.510049129075483</v>
      </c>
      <c r="I20" s="88"/>
      <c r="J20" s="87"/>
      <c r="K20" s="40">
        <f>IF(E20="","",MAX((E20-E21) * (E20*H19 + E20*H21 + 2*E19*H21) / (E19*E20 + E20*E21 + 2*E19*E21), 0))</f>
        <v>0</v>
      </c>
      <c r="L20" s="88"/>
      <c r="M20" s="87"/>
      <c r="N20" s="41">
        <f>IF(M19="","",M19/2)</f>
        <v>6.7887449754354634</v>
      </c>
    </row>
    <row r="21" spans="2:17" s="1" customFormat="1" x14ac:dyDescent="0.15">
      <c r="B21" s="23">
        <f>XY!A20</f>
        <v>27</v>
      </c>
      <c r="C21" s="29">
        <f t="shared" si="0"/>
        <v>27.75</v>
      </c>
      <c r="D21" s="89">
        <f>B22</f>
        <v>28.5</v>
      </c>
      <c r="E21" s="24">
        <f>XY!B20</f>
        <v>0.25</v>
      </c>
      <c r="F21" s="35"/>
      <c r="G21" s="36"/>
      <c r="H21" s="37">
        <f>IF(J19="","",H19-J19-M19)</f>
        <v>40.72130415364002</v>
      </c>
      <c r="I21" s="88"/>
      <c r="J21" s="87">
        <f>IF(E21="","",MAX((E21-E23) * (E21*H19 + E21*H23 + 2*E19*H23) / (E19*E21 + E21*E23 + 2*E19*E23), 0))</f>
        <v>8.143814202769093</v>
      </c>
      <c r="K21" s="40">
        <f>IF(J21="","",MAX(J21-K22, 0))</f>
        <v>3.406627667532149</v>
      </c>
      <c r="L21" s="88"/>
      <c r="M21" s="87">
        <f>M19</f>
        <v>13.577489950870927</v>
      </c>
      <c r="N21" s="41">
        <f>IF(M21="","",M21/2)</f>
        <v>6.7887449754354634</v>
      </c>
      <c r="Q21" s="19"/>
    </row>
    <row r="22" spans="2:17" s="1" customFormat="1" x14ac:dyDescent="0.15">
      <c r="B22" s="23">
        <f>XY!A21</f>
        <v>28.5</v>
      </c>
      <c r="C22" s="29">
        <f t="shared" si="0"/>
        <v>29.25</v>
      </c>
      <c r="D22" s="89"/>
      <c r="E22" s="24">
        <f>XY!B21</f>
        <v>0.23</v>
      </c>
      <c r="F22" s="35"/>
      <c r="G22" s="36"/>
      <c r="H22" s="37">
        <f>IF(H21="","",H21-K21-N21)</f>
        <v>30.525931510672407</v>
      </c>
      <c r="I22" s="88"/>
      <c r="J22" s="87"/>
      <c r="K22" s="40">
        <f>IF(E22="","",MAX((E22-E23) * (E22*H21 + E22*H23 + 2*E21*H23) / (E21*E22 + E22*E23 + 2*E21*E23), 0))</f>
        <v>4.737186535236944</v>
      </c>
      <c r="L22" s="88"/>
      <c r="M22" s="87"/>
      <c r="N22" s="41">
        <f>IF(M21="","",M21/2)</f>
        <v>6.7887449754354634</v>
      </c>
      <c r="Q22" s="42"/>
    </row>
    <row r="23" spans="2:17" s="1" customFormat="1" x14ac:dyDescent="0.15">
      <c r="B23" s="23">
        <f>XY!A22</f>
        <v>30</v>
      </c>
      <c r="C23" s="29" t="str">
        <f t="shared" si="0"/>
        <v/>
      </c>
      <c r="D23" s="89">
        <f>B24</f>
        <v>0</v>
      </c>
      <c r="E23" s="24">
        <f>XY!B22</f>
        <v>0.19</v>
      </c>
      <c r="F23" s="35"/>
      <c r="G23" s="36"/>
      <c r="H23" s="43">
        <v>19</v>
      </c>
      <c r="I23" s="88" t="str">
        <f>IF(E27="","",(H23+H27)*(E23-E27)/(E23+E27))</f>
        <v/>
      </c>
      <c r="J23" s="87" t="str">
        <f>IF(E25="","",MAX( H23 + 3*H27 - (3*E27 + E25) *  (E25*H23 + E25*H27 + 2*E23*H27) / (E23*E25 + E25*E27 + 2*E23*E27), 0))</f>
        <v/>
      </c>
      <c r="K23" s="40" t="str">
        <f>IF(J23="","",MAX(J23-K24, 0))</f>
        <v/>
      </c>
      <c r="L23" s="88" t="str">
        <f>IF(E27="","",MAX(2*(E27*H23 - E23*H27)/(E23+E27), 0))</f>
        <v/>
      </c>
      <c r="M23" s="87" t="str">
        <f>IF(J25="","",MAX( (H23-H27 - J23 - J25)/2, 0))</f>
        <v/>
      </c>
      <c r="N23" s="41" t="str">
        <f>IF(M23="","",M23/2)</f>
        <v/>
      </c>
      <c r="Q23" s="42"/>
    </row>
    <row r="24" spans="2:17" s="1" customFormat="1" x14ac:dyDescent="0.15">
      <c r="B24" s="23"/>
      <c r="C24" s="29" t="str">
        <f t="shared" si="0"/>
        <v/>
      </c>
      <c r="D24" s="89"/>
      <c r="E24" s="24"/>
      <c r="F24" s="44"/>
      <c r="G24" s="42"/>
      <c r="H24" s="37" t="str">
        <f>IF(K23="","",H23-K23-N23)</f>
        <v/>
      </c>
      <c r="I24" s="88"/>
      <c r="J24" s="87"/>
      <c r="K24" s="40" t="str">
        <f>IF(E24="","",MAX((E24-E25) * (E24*H23 + E24*H25 + 2*E23*H25) / (E23*E24 + E24*E25 + 2*E23*E25), 0))</f>
        <v/>
      </c>
      <c r="L24" s="88"/>
      <c r="M24" s="87"/>
      <c r="N24" s="41" t="str">
        <f>IF(M23="","",M23/2)</f>
        <v/>
      </c>
    </row>
    <row r="25" spans="2:17" s="1" customFormat="1" x14ac:dyDescent="0.15">
      <c r="B25" s="23"/>
      <c r="C25" s="29" t="str">
        <f t="shared" si="0"/>
        <v/>
      </c>
      <c r="D25" s="89">
        <f>B26</f>
        <v>0</v>
      </c>
      <c r="E25" s="24"/>
      <c r="F25" s="44"/>
      <c r="G25" s="42"/>
      <c r="H25" s="37" t="str">
        <f>IF(J23="","",H23-J23-M23)</f>
        <v/>
      </c>
      <c r="I25" s="88"/>
      <c r="J25" s="87" t="str">
        <f>IF(E25="","",MAX((E25-E27) * (E25*H23 + E25*H27 + 2*E23*H27) / (E23*E25 + E25*E27 + 2*E23*E27), 0))</f>
        <v/>
      </c>
      <c r="K25" s="40" t="str">
        <f>IF(J25="","",MAX(J25-K26, 0))</f>
        <v/>
      </c>
      <c r="L25" s="88"/>
      <c r="M25" s="87" t="str">
        <f>M23</f>
        <v/>
      </c>
      <c r="N25" s="41" t="str">
        <f>IF(M25="","",M25/2)</f>
        <v/>
      </c>
      <c r="Q25" s="42"/>
    </row>
    <row r="26" spans="2:17" s="1" customFormat="1" x14ac:dyDescent="0.15">
      <c r="B26" s="23"/>
      <c r="C26" s="29" t="str">
        <f t="shared" si="0"/>
        <v/>
      </c>
      <c r="D26" s="89"/>
      <c r="E26" s="24"/>
      <c r="F26" s="44"/>
      <c r="G26" s="42"/>
      <c r="H26" s="37" t="str">
        <f>IF(H25="","",H25-K25-N25)</f>
        <v/>
      </c>
      <c r="I26" s="88"/>
      <c r="J26" s="87"/>
      <c r="K26" s="40" t="str">
        <f>IF(E26="","",MAX((E26-E27) * (E26*H25 + E26*H27 + 2*E25*H27) / (E25*E26 + E26*E27 + 2*E25*E27), 0))</f>
        <v/>
      </c>
      <c r="L26" s="88"/>
      <c r="M26" s="87"/>
      <c r="N26" s="41" t="str">
        <f>IF(M25="","",M25/2)</f>
        <v/>
      </c>
      <c r="Q26" s="42"/>
    </row>
    <row r="27" spans="2:17" s="1" customFormat="1" x14ac:dyDescent="0.15">
      <c r="B27" s="23"/>
      <c r="C27" s="29" t="str">
        <f t="shared" si="0"/>
        <v/>
      </c>
      <c r="D27" s="89">
        <f>B28</f>
        <v>0</v>
      </c>
      <c r="E27" s="24"/>
      <c r="F27" s="44"/>
      <c r="G27" s="42"/>
      <c r="H27" s="43"/>
      <c r="I27" s="88" t="str">
        <f>IF(E31="","",(H27+H31)*(E27-E31)/(E27+E31))</f>
        <v/>
      </c>
      <c r="J27" s="87" t="str">
        <f>IF(E29="","",MAX( H27 + 3*H31 - (3*E31 + E29) *  (E29*H27 + E29*H31 + 2*E27*H31) / (E27*E29 + E29*E31 + 2*E27*E31), 0))</f>
        <v/>
      </c>
      <c r="K27" s="40" t="str">
        <f>IF(J27="","",MAX(J27-K28, 0))</f>
        <v/>
      </c>
      <c r="L27" s="88" t="str">
        <f>IF(E31="","",MAX(2*(E31*H27 - E27*H31)/(E27+E31), 0))</f>
        <v/>
      </c>
      <c r="M27" s="87" t="str">
        <f>IF(J29="","",MAX( (H27-H31 - J27 - J29)/2, 0))</f>
        <v/>
      </c>
      <c r="N27" s="41" t="str">
        <f>IF(M27="","",M27/2)</f>
        <v/>
      </c>
    </row>
    <row r="28" spans="2:17" s="1" customFormat="1" x14ac:dyDescent="0.15">
      <c r="B28" s="23"/>
      <c r="C28" s="29" t="str">
        <f t="shared" si="0"/>
        <v/>
      </c>
      <c r="D28" s="89"/>
      <c r="E28" s="24"/>
      <c r="F28" s="44"/>
      <c r="G28" s="42"/>
      <c r="H28" s="37" t="str">
        <f>IF(K27="","",H27-K27-N27)</f>
        <v/>
      </c>
      <c r="I28" s="88"/>
      <c r="J28" s="87"/>
      <c r="K28" s="40" t="str">
        <f>IF(E28="","",MAX((E28-E29) * (E28*H27 + E28*H29 + 2*E27*H29) / (E27*E28 + E28*E29 + 2*E27*E29), 0))</f>
        <v/>
      </c>
      <c r="L28" s="88"/>
      <c r="M28" s="87"/>
      <c r="N28" s="41" t="str">
        <f>IF(M27="","",M27/2)</f>
        <v/>
      </c>
      <c r="Q28" s="42"/>
    </row>
    <row r="29" spans="2:17" s="1" customFormat="1" x14ac:dyDescent="0.15">
      <c r="B29" s="23"/>
      <c r="C29" s="29" t="str">
        <f t="shared" si="0"/>
        <v/>
      </c>
      <c r="D29" s="89">
        <f>B30</f>
        <v>0</v>
      </c>
      <c r="E29" s="24"/>
      <c r="F29" s="44"/>
      <c r="G29" s="42"/>
      <c r="H29" s="37" t="str">
        <f>IF(J27="","",H27-J27-M27)</f>
        <v/>
      </c>
      <c r="I29" s="88"/>
      <c r="J29" s="87" t="str">
        <f>IF(E29="","",MAX((E29-E31) * (E29*H27 + E29*H31 + 2*E27*H31) / (E27*E29 + E29*E31 + 2*E27*E31), 0))</f>
        <v/>
      </c>
      <c r="K29" s="40" t="str">
        <f>IF(J29="","",MAX(J29-K30, 0))</f>
        <v/>
      </c>
      <c r="L29" s="88"/>
      <c r="M29" s="87" t="str">
        <f>M27</f>
        <v/>
      </c>
      <c r="N29" s="41" t="str">
        <f>IF(M29="","",M29/2)</f>
        <v/>
      </c>
    </row>
    <row r="30" spans="2:17" s="1" customFormat="1" x14ac:dyDescent="0.15">
      <c r="B30" s="23"/>
      <c r="C30" s="29" t="str">
        <f t="shared" si="0"/>
        <v/>
      </c>
      <c r="D30" s="89"/>
      <c r="E30" s="24"/>
      <c r="F30" s="44"/>
      <c r="G30" s="42"/>
      <c r="H30" s="37" t="str">
        <f>IF(K29="","",H29-K29-N29)</f>
        <v/>
      </c>
      <c r="I30" s="88"/>
      <c r="J30" s="87"/>
      <c r="K30" s="40" t="str">
        <f>IF(E30="","",MAX((E30-E31) * (E30*H29 + E30*H31 + 2*E29*H31) / (E29*E30 + E30*E31 + 2*E29*E31), 0))</f>
        <v/>
      </c>
      <c r="L30" s="88"/>
      <c r="M30" s="87"/>
      <c r="N30" s="41" t="str">
        <f>IF(M29="","",M29/2)</f>
        <v/>
      </c>
      <c r="Q30" s="42"/>
    </row>
    <row r="31" spans="2:17" s="1" customFormat="1" x14ac:dyDescent="0.15">
      <c r="B31" s="23"/>
      <c r="C31" s="29" t="str">
        <f t="shared" si="0"/>
        <v/>
      </c>
      <c r="D31" s="89">
        <f>B32</f>
        <v>0</v>
      </c>
      <c r="E31" s="24"/>
      <c r="F31" s="44"/>
      <c r="G31" s="42"/>
      <c r="H31" s="43"/>
      <c r="I31" s="88" t="str">
        <f>IF(E35="","",(H31+H35)*(E31-E35)/(E31+E35))</f>
        <v/>
      </c>
      <c r="J31" s="87" t="str">
        <f>IF(E33="","",MAX( H31 + 3*H35 - (3*E35 + E33) *  (E33*H31 + E33*H35 + 2*E31*H35) / (E31*E33 + E33*E35 + 2*E31*E35), 0))</f>
        <v/>
      </c>
      <c r="K31" s="40" t="str">
        <f>IF(J31="","",MAX(J31-K32, 0))</f>
        <v/>
      </c>
      <c r="L31" s="88" t="str">
        <f>IF(E35="","",MAX(2*(E35*H31 - E31*H35)/(E31+E35), 0))</f>
        <v/>
      </c>
      <c r="M31" s="87" t="str">
        <f>IF(J33="","",MAX( (H31-H35 - J31 - J33)/2, 0))</f>
        <v/>
      </c>
      <c r="N31" s="41" t="str">
        <f>IF(M31="","",M31/2)</f>
        <v/>
      </c>
      <c r="Q31" s="42"/>
    </row>
    <row r="32" spans="2:17" s="1" customFormat="1" x14ac:dyDescent="0.15">
      <c r="B32" s="23"/>
      <c r="C32" s="29" t="str">
        <f t="shared" si="0"/>
        <v/>
      </c>
      <c r="D32" s="89"/>
      <c r="E32" s="24"/>
      <c r="F32" s="44"/>
      <c r="G32" s="42"/>
      <c r="H32" s="37" t="str">
        <f>IF(K31="","",H31-K31-N31)</f>
        <v/>
      </c>
      <c r="I32" s="88"/>
      <c r="J32" s="87"/>
      <c r="K32" s="40" t="str">
        <f>IF(E32="","",MAX((E32-E33) * (E32*H31 + E32*H33 + 2*E31*H33) / (E31*E32 + E32*E33 + 2*E31*E33), 0))</f>
        <v/>
      </c>
      <c r="L32" s="88"/>
      <c r="M32" s="87"/>
      <c r="N32" s="41" t="str">
        <f>IF(M31="","",M31/2)</f>
        <v/>
      </c>
    </row>
    <row r="33" spans="2:21" s="1" customFormat="1" x14ac:dyDescent="0.15">
      <c r="B33" s="23"/>
      <c r="C33" s="29" t="str">
        <f t="shared" si="0"/>
        <v/>
      </c>
      <c r="D33" s="89">
        <f>B34</f>
        <v>0</v>
      </c>
      <c r="E33" s="24"/>
      <c r="F33" s="44"/>
      <c r="G33" s="42"/>
      <c r="H33" s="37" t="str">
        <f>IF(J31="","",H31-J31-M31)</f>
        <v/>
      </c>
      <c r="I33" s="88"/>
      <c r="J33" s="87" t="str">
        <f>IF(E33="","",MAX((E33-E35) * (E33*H31 + E33*H35 + 2*E31*H35) / (E31*E33 + E33*E35 + 2*E31*E35), 0))</f>
        <v/>
      </c>
      <c r="K33" s="40" t="str">
        <f>IF(J33="","",MAX(J33-K34, 0))</f>
        <v/>
      </c>
      <c r="L33" s="88"/>
      <c r="M33" s="87" t="str">
        <f>M31</f>
        <v/>
      </c>
      <c r="N33" s="41" t="str">
        <f>IF(M33="","",M33/2)</f>
        <v/>
      </c>
      <c r="U33" s="13"/>
    </row>
    <row r="34" spans="2:21" s="1" customFormat="1" x14ac:dyDescent="0.15">
      <c r="B34" s="23"/>
      <c r="C34" s="29" t="str">
        <f t="shared" si="0"/>
        <v/>
      </c>
      <c r="D34" s="89"/>
      <c r="E34" s="24"/>
      <c r="F34" s="44"/>
      <c r="G34" s="42"/>
      <c r="H34" s="37" t="str">
        <f>IF(K33="","",H33-K33-N33)</f>
        <v/>
      </c>
      <c r="I34" s="88"/>
      <c r="J34" s="87"/>
      <c r="K34" s="40" t="str">
        <f>IF(E34="","",MAX((E34-E35) * (E34*H33 + E34*H35 + 2*E33*H35) / (E33*E34 + E34*E35 + 2*E33*E35), 0))</f>
        <v/>
      </c>
      <c r="L34" s="88"/>
      <c r="M34" s="87"/>
      <c r="N34" s="41" t="str">
        <f>IF(M33="","",M33/2)</f>
        <v/>
      </c>
      <c r="Q34" s="42"/>
    </row>
    <row r="35" spans="2:21" s="1" customFormat="1" x14ac:dyDescent="0.15">
      <c r="B35" s="23"/>
      <c r="C35" s="29" t="str">
        <f t="shared" si="0"/>
        <v/>
      </c>
      <c r="D35" s="89">
        <f>B36</f>
        <v>0</v>
      </c>
      <c r="E35" s="24"/>
      <c r="F35" s="44"/>
      <c r="G35" s="42"/>
      <c r="H35" s="43"/>
      <c r="I35" s="88" t="str">
        <f>IF(E39="","",(H35+H39)*(E35-E39)/(E35+E39))</f>
        <v/>
      </c>
      <c r="J35" s="87" t="str">
        <f>IF(E37="","",MAX( H35 + 3*H39 - (3*E39 + E37) *  (E37*H35 + E37*H39 + 2*E35*H39) / (E35*E37 + E37*E39 + 2*E35*E39), 0))</f>
        <v/>
      </c>
      <c r="K35" s="40" t="str">
        <f>IF(J35="","",MAX(J35-K36, 0))</f>
        <v/>
      </c>
      <c r="L35" s="88" t="str">
        <f>IF(E39="","",MAX(2*(E39*H35 - E35*H39)/(E35+E39), 0))</f>
        <v/>
      </c>
      <c r="M35" s="87" t="str">
        <f>IF(J37="","",MAX( (H35-H39 - J35 - J37)/2, 0))</f>
        <v/>
      </c>
      <c r="N35" s="41" t="str">
        <f>IF(M35="","",M35/2)</f>
        <v/>
      </c>
      <c r="Q35" s="42"/>
    </row>
    <row r="36" spans="2:21" s="1" customFormat="1" x14ac:dyDescent="0.15">
      <c r="B36" s="23"/>
      <c r="C36" s="29" t="str">
        <f t="shared" si="0"/>
        <v/>
      </c>
      <c r="D36" s="89"/>
      <c r="E36" s="24"/>
      <c r="F36" s="44"/>
      <c r="G36" s="42"/>
      <c r="H36" s="37" t="str">
        <f>IF(K35="","",H35-K35-N35)</f>
        <v/>
      </c>
      <c r="I36" s="88"/>
      <c r="J36" s="87"/>
      <c r="K36" s="40" t="str">
        <f>IF(E36="","",MAX((E36-E37) * (E36*H35 + E36*H37 + 2*E35*H37) / (E35*E36 + E36*E37 + 2*E35*E37), 0))</f>
        <v/>
      </c>
      <c r="L36" s="88"/>
      <c r="M36" s="87"/>
      <c r="N36" s="41" t="str">
        <f>IF(M35="","",M35/2)</f>
        <v/>
      </c>
    </row>
    <row r="37" spans="2:21" s="1" customFormat="1" x14ac:dyDescent="0.15">
      <c r="B37" s="23"/>
      <c r="C37" s="29" t="str">
        <f t="shared" si="0"/>
        <v/>
      </c>
      <c r="D37" s="89">
        <f>B38</f>
        <v>0</v>
      </c>
      <c r="E37" s="24"/>
      <c r="F37" s="44"/>
      <c r="G37" s="42"/>
      <c r="H37" s="37" t="str">
        <f>IF(J35="","",H35-J35-M35)</f>
        <v/>
      </c>
      <c r="I37" s="88"/>
      <c r="J37" s="87" t="str">
        <f>IF(E37="","",MAX((E37-E39) * (E37*H35 + E37*H39 + 2*E35*H39) / (E35*E37 + E37*E39 + 2*E35*E39), 0))</f>
        <v/>
      </c>
      <c r="K37" s="40" t="str">
        <f>IF(J37="","",MAX(J37-K38, 0))</f>
        <v/>
      </c>
      <c r="L37" s="88"/>
      <c r="M37" s="87" t="str">
        <f>M35</f>
        <v/>
      </c>
      <c r="N37" s="41" t="str">
        <f>IF(M37="","",M37/2)</f>
        <v/>
      </c>
      <c r="Q37" s="42"/>
    </row>
    <row r="38" spans="2:21" s="1" customFormat="1" x14ac:dyDescent="0.15">
      <c r="B38" s="23"/>
      <c r="C38" s="29" t="str">
        <f t="shared" si="0"/>
        <v/>
      </c>
      <c r="D38" s="89"/>
      <c r="E38" s="24"/>
      <c r="F38" s="44"/>
      <c r="G38" s="42"/>
      <c r="H38" s="37" t="str">
        <f>IF(H37="","",H37-K37-N37)</f>
        <v/>
      </c>
      <c r="I38" s="88"/>
      <c r="J38" s="87"/>
      <c r="K38" s="40" t="str">
        <f>IF(E38="","",MAX((E38-E39) * (E38*H37 + E38*H39 + 2*E37*H39) / (E37*E38 + E38*E39 + 2*E37*E39), 0))</f>
        <v/>
      </c>
      <c r="L38" s="88"/>
      <c r="M38" s="87"/>
      <c r="N38" s="41" t="str">
        <f>IF(M37="","",M37/2)</f>
        <v/>
      </c>
      <c r="Q38" s="42"/>
    </row>
    <row r="39" spans="2:21" s="1" customFormat="1" x14ac:dyDescent="0.15">
      <c r="B39" s="23"/>
      <c r="C39" s="29" t="str">
        <f t="shared" si="0"/>
        <v/>
      </c>
      <c r="D39" s="89">
        <f>B40</f>
        <v>0</v>
      </c>
      <c r="E39" s="24"/>
      <c r="F39" s="44"/>
      <c r="G39" s="42"/>
      <c r="H39" s="43"/>
      <c r="I39" s="88" t="str">
        <f>IF(E43="","",(H39+H43)*(E39-E43)/(E39+E43))</f>
        <v/>
      </c>
      <c r="J39" s="87" t="str">
        <f>IF(E41="","",MAX( H39 + 3*H43 - (3*E43 + E41) *  (E41*H39 + E41*H43 + 2*E39*H43) / (E39*E41 + E41*E43 + 2*E39*E43), 0))</f>
        <v/>
      </c>
      <c r="K39" s="40" t="str">
        <f>IF(J39="","",MAX(J39-K40, 0))</f>
        <v/>
      </c>
      <c r="L39" s="88" t="str">
        <f>IF(E43="","",MAX(2*(E43*H39 - E39*H43)/(E39+E43), 0))</f>
        <v/>
      </c>
      <c r="M39" s="87" t="str">
        <f>IF(J41="","",MAX( (H39-H43 - J39 - J41)/2, 0))</f>
        <v/>
      </c>
      <c r="N39" s="41" t="str">
        <f>IF(M39="","",M39/2)</f>
        <v/>
      </c>
    </row>
    <row r="40" spans="2:21" s="1" customFormat="1" x14ac:dyDescent="0.15">
      <c r="B40" s="23"/>
      <c r="C40" s="29" t="str">
        <f t="shared" si="0"/>
        <v/>
      </c>
      <c r="D40" s="89"/>
      <c r="E40" s="24"/>
      <c r="F40" s="44"/>
      <c r="G40" s="42"/>
      <c r="H40" s="37" t="str">
        <f>IF(K39="","",H39-K39-N39)</f>
        <v/>
      </c>
      <c r="I40" s="88"/>
      <c r="J40" s="87"/>
      <c r="K40" s="40" t="str">
        <f>IF(E40="","",MAX((E40-E41) * (E40*H39 + E40*H41 + 2*E39*H41) / (E39*E40 + E40*E41 + 2*E39*E41), 0))</f>
        <v/>
      </c>
      <c r="L40" s="88"/>
      <c r="M40" s="87"/>
      <c r="N40" s="41" t="str">
        <f>IF(M39="","",M39/2)</f>
        <v/>
      </c>
    </row>
    <row r="41" spans="2:21" s="1" customFormat="1" x14ac:dyDescent="0.15">
      <c r="B41" s="23"/>
      <c r="C41" s="29" t="str">
        <f t="shared" si="0"/>
        <v/>
      </c>
      <c r="D41" s="89">
        <f>B42</f>
        <v>0</v>
      </c>
      <c r="E41" s="24"/>
      <c r="F41" s="44"/>
      <c r="G41" s="42"/>
      <c r="H41" s="37" t="str">
        <f>IF(J39="","",H39-J39-M39)</f>
        <v/>
      </c>
      <c r="I41" s="88"/>
      <c r="J41" s="87" t="str">
        <f>IF(E41="","",MAX((E41-E43) * (E41*H39 + E41*H43 + 2*E39*H43) / (E39*E41 + E41*E43 + 2*E39*E43), 0))</f>
        <v/>
      </c>
      <c r="K41" s="40" t="str">
        <f>IF(J41="","",MAX(J41-K42, 0))</f>
        <v/>
      </c>
      <c r="L41" s="88"/>
      <c r="M41" s="87" t="str">
        <f>M39</f>
        <v/>
      </c>
      <c r="N41" s="41" t="str">
        <f>IF(M41="","",M41/2)</f>
        <v/>
      </c>
    </row>
    <row r="42" spans="2:21" s="1" customFormat="1" x14ac:dyDescent="0.15">
      <c r="B42" s="23"/>
      <c r="C42" s="29" t="str">
        <f t="shared" si="0"/>
        <v/>
      </c>
      <c r="D42" s="89"/>
      <c r="E42" s="24"/>
      <c r="F42" s="44"/>
      <c r="G42" s="42"/>
      <c r="H42" s="37" t="str">
        <f>IF(H41="","",H41-K41-N41)</f>
        <v/>
      </c>
      <c r="I42" s="88"/>
      <c r="J42" s="87"/>
      <c r="K42" s="40" t="str">
        <f>IF(E42="","",MAX((E42-E43) * (E42*H41 + E42*H43 + 2*E41*H43) / (E41*E42 + E42*E43 + 2*E41*E43), 0))</f>
        <v/>
      </c>
      <c r="L42" s="88"/>
      <c r="M42" s="87"/>
      <c r="N42" s="41" t="str">
        <f>IF(M41="","",M41/2)</f>
        <v/>
      </c>
    </row>
    <row r="43" spans="2:21" s="1" customFormat="1" x14ac:dyDescent="0.15">
      <c r="B43" s="23"/>
      <c r="C43" s="29" t="str">
        <f t="shared" si="0"/>
        <v/>
      </c>
      <c r="D43" s="89">
        <f>B44</f>
        <v>0</v>
      </c>
      <c r="E43" s="24"/>
      <c r="F43" s="44"/>
      <c r="G43" s="42"/>
      <c r="H43" s="43"/>
      <c r="I43" s="88" t="str">
        <f>IF(E47="","",(H43+H47)*(E43-E47)/(E43+E47))</f>
        <v/>
      </c>
      <c r="J43" s="87" t="str">
        <f>IF(E45="","",MAX( H43 + 3*H47 - (3*E47 + E45) *  (E45*H43 + E45*H47 + 2*E43*H47) / (E43*E45 + E45*E47 + 2*E43*E47), 0))</f>
        <v/>
      </c>
      <c r="K43" s="40" t="str">
        <f>IF(J43="","",MAX(J43-K44, 0))</f>
        <v/>
      </c>
      <c r="L43" s="88" t="str">
        <f>IF(E47="","",MAX(2*(E47*H43 - E43*H47)/(E43+E47), 0))</f>
        <v/>
      </c>
      <c r="M43" s="87" t="str">
        <f>IF(J45="","",MAX( (H43-H47 - J43 - J45)/2, 0))</f>
        <v/>
      </c>
      <c r="N43" s="41" t="str">
        <f>IF(M43="","",M43/2)</f>
        <v/>
      </c>
    </row>
    <row r="44" spans="2:21" s="1" customFormat="1" x14ac:dyDescent="0.15">
      <c r="B44" s="23"/>
      <c r="C44" s="29" t="str">
        <f t="shared" si="0"/>
        <v/>
      </c>
      <c r="D44" s="89"/>
      <c r="E44" s="24"/>
      <c r="F44" s="44"/>
      <c r="G44" s="42"/>
      <c r="H44" s="37" t="str">
        <f>IF(K43="","",H43-K43-N43)</f>
        <v/>
      </c>
      <c r="I44" s="88"/>
      <c r="J44" s="87"/>
      <c r="K44" s="40" t="str">
        <f>IF(E44="","",MAX((E44-E45) * (E44*H43 + E44*H45 + 2*E43*H45) / (E43*E44 + E44*E45 + 2*E43*E45), 0))</f>
        <v/>
      </c>
      <c r="L44" s="88"/>
      <c r="M44" s="87"/>
      <c r="N44" s="41" t="str">
        <f>IF(M43="","",M43/2)</f>
        <v/>
      </c>
    </row>
    <row r="45" spans="2:21" s="1" customFormat="1" x14ac:dyDescent="0.15">
      <c r="B45" s="23"/>
      <c r="C45" s="29" t="str">
        <f t="shared" si="0"/>
        <v/>
      </c>
      <c r="D45" s="89">
        <f>B46</f>
        <v>0</v>
      </c>
      <c r="E45" s="24"/>
      <c r="F45" s="44"/>
      <c r="G45" s="42"/>
      <c r="H45" s="37" t="str">
        <f>IF(J43="","",H43-J43-M43)</f>
        <v/>
      </c>
      <c r="I45" s="88"/>
      <c r="J45" s="87" t="str">
        <f>IF(E45="","",MAX((E45-E47) * (E45*H43 + E45*H47 + 2*E43*H47) / (E43*E45 + E45*E47 + 2*E43*E47), 0))</f>
        <v/>
      </c>
      <c r="K45" s="40" t="str">
        <f>IF(J45="","",MAX(J45-K46, 0))</f>
        <v/>
      </c>
      <c r="L45" s="88"/>
      <c r="M45" s="87" t="str">
        <f>M43</f>
        <v/>
      </c>
      <c r="N45" s="41" t="str">
        <f>IF(M45="","",M45/2)</f>
        <v/>
      </c>
    </row>
    <row r="46" spans="2:21" s="1" customFormat="1" x14ac:dyDescent="0.15">
      <c r="B46" s="23"/>
      <c r="C46" s="29" t="str">
        <f t="shared" si="0"/>
        <v/>
      </c>
      <c r="D46" s="89"/>
      <c r="E46" s="24"/>
      <c r="F46" s="44"/>
      <c r="G46" s="42"/>
      <c r="H46" s="37" t="str">
        <f>IF(H45="","",H45-K45-N45)</f>
        <v/>
      </c>
      <c r="I46" s="88"/>
      <c r="J46" s="87"/>
      <c r="K46" s="40" t="str">
        <f>IF(E46="","",MAX((E46-E47) * (E46*H45 + E46*H47 + 2*E45*H47) / (E45*E46 + E46*E47 + 2*E45*E47), 0))</f>
        <v/>
      </c>
      <c r="L46" s="88"/>
      <c r="M46" s="87"/>
      <c r="N46" s="41" t="str">
        <f>IF(M45="","",M45/2)</f>
        <v/>
      </c>
    </row>
    <row r="47" spans="2:21" s="1" customFormat="1" x14ac:dyDescent="0.15">
      <c r="B47" s="23"/>
      <c r="C47" s="29" t="str">
        <f t="shared" si="0"/>
        <v/>
      </c>
      <c r="D47" s="89">
        <f>B48</f>
        <v>0</v>
      </c>
      <c r="E47" s="24"/>
      <c r="F47" s="44"/>
      <c r="G47" s="42"/>
      <c r="H47" s="32"/>
      <c r="I47" s="88" t="str">
        <f>IF(E51="","",(H47+H51)*(E47-E51)/(E47+E51))</f>
        <v/>
      </c>
      <c r="J47" s="87" t="str">
        <f>IF(E49="","",MAX( H47 + 3*H51 - (3*E51 + E49) *  (E49*H47 + E49*H51 + 2*E47*H51) / (E47*E49 + E49*E51 + 2*E47*E51), 0))</f>
        <v/>
      </c>
      <c r="K47" s="40" t="str">
        <f>IF(J47="","",MAX(J47-K48, 0))</f>
        <v/>
      </c>
      <c r="L47" s="88" t="str">
        <f>IF(E51="","",MAX(2*(E51*H47 - E47*H51)/(E47+E51), 0))</f>
        <v/>
      </c>
      <c r="M47" s="87" t="str">
        <f>IF(J49="","",MAX( (H47-H51 - J47 - J49)/2, 0))</f>
        <v/>
      </c>
      <c r="N47" s="41" t="str">
        <f>IF(M47="","",M47/2)</f>
        <v/>
      </c>
    </row>
    <row r="48" spans="2:21" s="1" customFormat="1" x14ac:dyDescent="0.15">
      <c r="B48" s="23"/>
      <c r="C48" s="29" t="str">
        <f t="shared" si="0"/>
        <v/>
      </c>
      <c r="D48" s="89"/>
      <c r="E48" s="24"/>
      <c r="F48" s="44"/>
      <c r="G48" s="42"/>
      <c r="H48" s="37" t="str">
        <f>IF(K47="","",H47-K47-N47)</f>
        <v/>
      </c>
      <c r="I48" s="88"/>
      <c r="J48" s="87"/>
      <c r="K48" s="40" t="str">
        <f>IF(E48="","",MAX((E48-E49) * (E48*H47 + E48*H49 + 2*E47*H49) / (E47*E48 + E48*E49 + 2*E47*E49), 0))</f>
        <v/>
      </c>
      <c r="L48" s="88"/>
      <c r="M48" s="87"/>
      <c r="N48" s="41" t="str">
        <f>IF(M47="","",M47/2)</f>
        <v/>
      </c>
    </row>
    <row r="49" spans="2:14" s="1" customFormat="1" x14ac:dyDescent="0.15">
      <c r="B49" s="23"/>
      <c r="C49" s="29" t="str">
        <f t="shared" si="0"/>
        <v/>
      </c>
      <c r="D49" s="89">
        <f>B50</f>
        <v>0</v>
      </c>
      <c r="E49" s="24"/>
      <c r="F49" s="44"/>
      <c r="G49" s="42"/>
      <c r="H49" s="37" t="str">
        <f>IF(J47="","",H47-J47-M47)</f>
        <v/>
      </c>
      <c r="I49" s="88"/>
      <c r="J49" s="87" t="str">
        <f>IF(E49="","",MAX((E49-E51) * (E49*H47 + E49*H51 + 2*E47*H51) / (E47*E49 + E49*E51 + 2*E47*E51), 0))</f>
        <v/>
      </c>
      <c r="K49" s="40" t="str">
        <f>IF(J49="","",MAX(J49-K50, 0))</f>
        <v/>
      </c>
      <c r="L49" s="88"/>
      <c r="M49" s="87" t="str">
        <f>M47</f>
        <v/>
      </c>
      <c r="N49" s="41" t="str">
        <f>IF(M49="","",M49/2)</f>
        <v/>
      </c>
    </row>
    <row r="50" spans="2:14" s="1" customFormat="1" x14ac:dyDescent="0.15">
      <c r="B50" s="23"/>
      <c r="C50" s="29" t="str">
        <f t="shared" si="0"/>
        <v/>
      </c>
      <c r="D50" s="89"/>
      <c r="E50" s="24"/>
      <c r="F50" s="44"/>
      <c r="G50" s="42"/>
      <c r="H50" s="37" t="str">
        <f>IF(H49="","",H49-K49-N49)</f>
        <v/>
      </c>
      <c r="I50" s="88"/>
      <c r="J50" s="87"/>
      <c r="K50" s="40" t="str">
        <f>IF(E50="","",MAX((E50-E51) * (E50*H49 + E50*H51 + 2*E49*H51) / (E49*E50 + E50*E51 + 2*E49*E51), 0))</f>
        <v/>
      </c>
      <c r="L50" s="88"/>
      <c r="M50" s="87"/>
      <c r="N50" s="41" t="str">
        <f>IF(M49="","",M49/2)</f>
        <v/>
      </c>
    </row>
    <row r="51" spans="2:14" s="1" customFormat="1" x14ac:dyDescent="0.15">
      <c r="B51" s="23"/>
      <c r="C51" s="29" t="str">
        <f t="shared" si="0"/>
        <v/>
      </c>
      <c r="D51" s="89">
        <f>B52</f>
        <v>0</v>
      </c>
      <c r="E51" s="24"/>
      <c r="F51" s="44"/>
      <c r="G51" s="42"/>
      <c r="H51" s="32"/>
      <c r="I51" s="88" t="str">
        <f>IF(E55="","",(H51+H55)*(E51-E55)/(E51+E55))</f>
        <v/>
      </c>
      <c r="J51" s="87" t="str">
        <f>IF(E53="","",MAX( H51 + 3*H55 - (3*E55 + E53) *  (E53*H51 + E53*H55 + 2*E51*H55) / (E51*E53 + E53*E55 + 2*E51*E55), 0))</f>
        <v/>
      </c>
      <c r="K51" s="40" t="str">
        <f>IF(J51="","",MAX(J51-K52, 0))</f>
        <v/>
      </c>
      <c r="L51" s="88" t="str">
        <f>IF(E55="","",MAX(2*(E55*H51 - E51*H55)/(E51+E55), 0))</f>
        <v/>
      </c>
      <c r="M51" s="87" t="str">
        <f>IF(J53="","",MAX( (H51-H55 - J51 - J53)/2, 0))</f>
        <v/>
      </c>
      <c r="N51" s="41" t="str">
        <f>IF(M51="","",M51/2)</f>
        <v/>
      </c>
    </row>
    <row r="52" spans="2:14" s="1" customFormat="1" x14ac:dyDescent="0.15">
      <c r="B52" s="23"/>
      <c r="C52" s="29" t="str">
        <f t="shared" si="0"/>
        <v/>
      </c>
      <c r="D52" s="89"/>
      <c r="E52" s="24"/>
      <c r="F52" s="44"/>
      <c r="G52" s="42"/>
      <c r="H52" s="37" t="str">
        <f>IF(K51="","",H51-K51-N51)</f>
        <v/>
      </c>
      <c r="I52" s="88"/>
      <c r="J52" s="87"/>
      <c r="K52" s="40" t="str">
        <f>IF(E52="","",MAX((E52-E53) * (E52*H51 + E52*H53 + 2*E51*H53) / (E51*E52 + E52*E53 + 2*E51*E53), 0))</f>
        <v/>
      </c>
      <c r="L52" s="88"/>
      <c r="M52" s="87"/>
      <c r="N52" s="41" t="str">
        <f>IF(M51="","",M51/2)</f>
        <v/>
      </c>
    </row>
    <row r="53" spans="2:14" s="1" customFormat="1" x14ac:dyDescent="0.15">
      <c r="B53" s="23"/>
      <c r="C53" s="29" t="str">
        <f t="shared" si="0"/>
        <v/>
      </c>
      <c r="D53" s="89">
        <f t="shared" ref="D53:D61" si="1">B54</f>
        <v>0</v>
      </c>
      <c r="E53" s="24"/>
      <c r="F53" s="44"/>
      <c r="G53" s="42"/>
      <c r="H53" s="37" t="str">
        <f>IF(J51="","",H51-J51-M51)</f>
        <v/>
      </c>
      <c r="I53" s="88"/>
      <c r="J53" s="87" t="str">
        <f>IF(E53="","",MAX((E53-E55) * (E53*H51 + E53*H55 + 2*E51*H55) / (E51*E53 + E53*E55 + 2*E51*E55), 0))</f>
        <v/>
      </c>
      <c r="K53" s="40" t="str">
        <f>IF(J53="","",MAX(J53-K54, 0))</f>
        <v/>
      </c>
      <c r="L53" s="88"/>
      <c r="M53" s="87" t="str">
        <f>M51</f>
        <v/>
      </c>
      <c r="N53" s="41" t="str">
        <f>IF(M53="","",M53/2)</f>
        <v/>
      </c>
    </row>
    <row r="54" spans="2:14" s="1" customFormat="1" x14ac:dyDescent="0.15">
      <c r="B54" s="23"/>
      <c r="C54" s="29" t="str">
        <f t="shared" si="0"/>
        <v/>
      </c>
      <c r="D54" s="89"/>
      <c r="E54" s="24"/>
      <c r="F54" s="44"/>
      <c r="G54" s="42"/>
      <c r="H54" s="37" t="str">
        <f>IF(H53="","",H53-K53-N53)</f>
        <v/>
      </c>
      <c r="I54" s="88"/>
      <c r="J54" s="87"/>
      <c r="K54" s="40" t="str">
        <f>IF(E54="","",MAX((E54-E55) * (E54*H53 + E54*H55 + 2*E53*H55) / (E53*E54 + E54*E55 + 2*E53*E55), 0))</f>
        <v/>
      </c>
      <c r="L54" s="88"/>
      <c r="M54" s="87"/>
      <c r="N54" s="41" t="str">
        <f>IF(M53="","",M53/2)</f>
        <v/>
      </c>
    </row>
    <row r="55" spans="2:14" s="1" customFormat="1" x14ac:dyDescent="0.15">
      <c r="B55" s="23"/>
      <c r="C55" s="29" t="str">
        <f t="shared" si="0"/>
        <v/>
      </c>
      <c r="D55" s="89">
        <f t="shared" si="1"/>
        <v>0</v>
      </c>
      <c r="E55" s="24"/>
      <c r="F55" s="44"/>
      <c r="G55" s="42"/>
      <c r="H55" s="32"/>
      <c r="I55" s="88" t="str">
        <f>IF(E59="","",(H55+H59)*(E55-E59)/(E55+E59))</f>
        <v/>
      </c>
      <c r="J55" s="87" t="str">
        <f>IF(E57="","",MAX( H55 + 3*H59 - (3*E59 + E57) *  (E57*H55 + E57*H59 + 2*E55*H59) / (E55*E57 + E57*E59 + 2*E55*E59), 0))</f>
        <v/>
      </c>
      <c r="K55" s="40" t="str">
        <f>IF(J55="","",MAX(J55-K56, 0))</f>
        <v/>
      </c>
      <c r="L55" s="88" t="str">
        <f>IF(E59="","",MAX(2*(E59*H55 - E55*H59)/(E55+E59), 0))</f>
        <v/>
      </c>
      <c r="M55" s="87" t="str">
        <f>IF(J57="","",MAX( (H55-H59 - J55 - J57)/2, 0))</f>
        <v/>
      </c>
      <c r="N55" s="41" t="str">
        <f>IF(M55="","",M55/2)</f>
        <v/>
      </c>
    </row>
    <row r="56" spans="2:14" s="1" customFormat="1" x14ac:dyDescent="0.15">
      <c r="B56" s="23"/>
      <c r="C56" s="29" t="str">
        <f t="shared" si="0"/>
        <v/>
      </c>
      <c r="D56" s="89"/>
      <c r="E56" s="24"/>
      <c r="F56" s="44"/>
      <c r="G56" s="42"/>
      <c r="H56" s="37" t="str">
        <f>IF(K55="","",H55-K55-N55)</f>
        <v/>
      </c>
      <c r="I56" s="88"/>
      <c r="J56" s="87"/>
      <c r="K56" s="40" t="str">
        <f>IF(E56="","",MAX((E56-E57) * (E56*H55 + E56*H57 + 2*E55*H57) / (E55*E56 + E56*E57 + 2*E55*E57), 0))</f>
        <v/>
      </c>
      <c r="L56" s="88"/>
      <c r="M56" s="87"/>
      <c r="N56" s="41" t="str">
        <f>IF(M55="","",M55/2)</f>
        <v/>
      </c>
    </row>
    <row r="57" spans="2:14" s="1" customFormat="1" x14ac:dyDescent="0.15">
      <c r="B57" s="23"/>
      <c r="C57" s="29" t="str">
        <f t="shared" si="0"/>
        <v/>
      </c>
      <c r="D57" s="89">
        <f t="shared" si="1"/>
        <v>0</v>
      </c>
      <c r="E57" s="24"/>
      <c r="F57" s="44"/>
      <c r="G57" s="42"/>
      <c r="H57" s="37" t="str">
        <f>IF(J55="","",H55-J55-M55)</f>
        <v/>
      </c>
      <c r="I57" s="88"/>
      <c r="J57" s="87" t="str">
        <f>IF(E57="","",MAX((E57-E59) * (E57*H55 + E57*H59 + 2*E55*H59) / (E55*E57 + E57*E59 + 2*E55*E59), 0))</f>
        <v/>
      </c>
      <c r="K57" s="40" t="str">
        <f>IF(J57="","",MAX(J57-K58, 0))</f>
        <v/>
      </c>
      <c r="L57" s="88"/>
      <c r="M57" s="87" t="str">
        <f>M55</f>
        <v/>
      </c>
      <c r="N57" s="41" t="str">
        <f>IF(M57="","",M57/2)</f>
        <v/>
      </c>
    </row>
    <row r="58" spans="2:14" s="1" customFormat="1" x14ac:dyDescent="0.15">
      <c r="B58" s="23"/>
      <c r="C58" s="29" t="str">
        <f t="shared" si="0"/>
        <v/>
      </c>
      <c r="D58" s="89"/>
      <c r="E58" s="24"/>
      <c r="F58" s="44"/>
      <c r="G58" s="42"/>
      <c r="H58" s="37" t="str">
        <f>IF(H57="","",H57-K57-N57)</f>
        <v/>
      </c>
      <c r="I58" s="88"/>
      <c r="J58" s="87"/>
      <c r="K58" s="40" t="str">
        <f>IF(E58="","",MAX((E58-E59) * (E58*H57 + E58*H59 + 2*E57*H59) / (E57*E58 + E58*E59 + 2*E57*E59), 0))</f>
        <v/>
      </c>
      <c r="L58" s="88"/>
      <c r="M58" s="87"/>
      <c r="N58" s="41" t="str">
        <f>IF(M57="","",M57/2)</f>
        <v/>
      </c>
    </row>
    <row r="59" spans="2:14" s="1" customFormat="1" x14ac:dyDescent="0.15">
      <c r="B59" s="23"/>
      <c r="C59" s="29" t="str">
        <f t="shared" si="0"/>
        <v/>
      </c>
      <c r="D59" s="89">
        <f t="shared" si="1"/>
        <v>0</v>
      </c>
      <c r="E59" s="24"/>
      <c r="F59" s="44"/>
      <c r="G59" s="42"/>
      <c r="H59" s="32"/>
      <c r="I59" s="88" t="str">
        <f>IF(E63="","",(H59+H63)*(E59-E63)/(E59+E63))</f>
        <v/>
      </c>
      <c r="J59" s="87" t="str">
        <f>IF(E61="","",MAX( H59 + 3*H63 - (3*E63 + E61) *  (E61*H59 + E61*H63 + 2*E59*H63) / (E59*E61 + E61*E63 + 2*E59*E63), 0))</f>
        <v/>
      </c>
      <c r="K59" s="40" t="str">
        <f>IF(J59="","",MAX(J59-K60, 0))</f>
        <v/>
      </c>
      <c r="L59" s="88" t="str">
        <f>IF(E63="","",MAX(2*(E63*H59 - E59*H63)/(E59+E63), 0))</f>
        <v/>
      </c>
      <c r="M59" s="87" t="str">
        <f>IF(J61="","",MAX( (H59-H63 - J59 - J61)/2, 0))</f>
        <v/>
      </c>
      <c r="N59" s="41" t="str">
        <f>IF(M59="","",M59/2)</f>
        <v/>
      </c>
    </row>
    <row r="60" spans="2:14" s="1" customFormat="1" x14ac:dyDescent="0.15">
      <c r="B60" s="23"/>
      <c r="C60" s="29" t="str">
        <f t="shared" si="0"/>
        <v/>
      </c>
      <c r="D60" s="89"/>
      <c r="E60" s="24"/>
      <c r="F60" s="44"/>
      <c r="G60" s="42"/>
      <c r="H60" s="37" t="str">
        <f>IF(K59="","",H59-K59-N59)</f>
        <v/>
      </c>
      <c r="I60" s="88"/>
      <c r="J60" s="87"/>
      <c r="K60" s="40" t="str">
        <f>IF(E60="","",MAX((E60-E61) * (E60*H59 + E60*H61 + 2*E59*H61) / (E59*E60 + E60*E61 + 2*E59*E61), 0))</f>
        <v/>
      </c>
      <c r="L60" s="88"/>
      <c r="M60" s="87"/>
      <c r="N60" s="41" t="str">
        <f>IF(M59="","",M59/2)</f>
        <v/>
      </c>
    </row>
    <row r="61" spans="2:14" s="1" customFormat="1" x14ac:dyDescent="0.15">
      <c r="B61" s="23"/>
      <c r="C61" s="29" t="str">
        <f t="shared" si="0"/>
        <v/>
      </c>
      <c r="D61" s="89">
        <f t="shared" si="1"/>
        <v>0</v>
      </c>
      <c r="E61" s="24"/>
      <c r="F61" s="44"/>
      <c r="G61" s="42"/>
      <c r="H61" s="37" t="str">
        <f>IF(J59="","",H59-J59-M59)</f>
        <v/>
      </c>
      <c r="I61" s="88"/>
      <c r="J61" s="87" t="str">
        <f>IF(E61="","",MAX((E61-E63) * (E61*H59 + E61*H63 + 2*E59*H63) / (E59*E61 + E61*E63 + 2*E59*E63), 0))</f>
        <v/>
      </c>
      <c r="K61" s="40" t="str">
        <f>IF(J61="","",MAX(J61-K62, 0))</f>
        <v/>
      </c>
      <c r="L61" s="88"/>
      <c r="M61" s="87" t="str">
        <f>M59</f>
        <v/>
      </c>
      <c r="N61" s="41" t="str">
        <f>IF(M61="","",M61/2)</f>
        <v/>
      </c>
    </row>
    <row r="62" spans="2:14" s="1" customFormat="1" x14ac:dyDescent="0.15">
      <c r="B62" s="23"/>
      <c r="C62" s="29" t="str">
        <f t="shared" si="0"/>
        <v/>
      </c>
      <c r="D62" s="89"/>
      <c r="E62" s="24"/>
      <c r="F62" s="44"/>
      <c r="G62" s="42"/>
      <c r="H62" s="37" t="str">
        <f>IF(H61="","",H61-K61-N61)</f>
        <v/>
      </c>
      <c r="I62" s="88"/>
      <c r="J62" s="87"/>
      <c r="K62" s="40" t="str">
        <f>IF(E62="","",MAX((E62-E63) * (E62*H61 + E62*H63 + 2*E61*H63) / (E61*E62 + E62*E63 + 2*E61*E63), 0))</f>
        <v/>
      </c>
      <c r="L62" s="88"/>
      <c r="M62" s="87"/>
      <c r="N62" s="41" t="str">
        <f>IF(M61="","",M61/2)</f>
        <v/>
      </c>
    </row>
    <row r="63" spans="2:14" s="15" customFormat="1" ht="14" thickBot="1" x14ac:dyDescent="0.2">
      <c r="B63" s="45"/>
      <c r="C63" s="46"/>
      <c r="D63" s="46"/>
      <c r="E63" s="47"/>
      <c r="F63" s="48"/>
      <c r="G63" s="42"/>
      <c r="H63" s="49"/>
      <c r="I63" s="50"/>
      <c r="J63" s="51"/>
      <c r="K63" s="52"/>
      <c r="L63" s="50"/>
      <c r="M63" s="51"/>
      <c r="N63" s="52"/>
    </row>
    <row r="64" spans="2:14" x14ac:dyDescent="0.15">
      <c r="B64" s="53"/>
      <c r="C64" s="53"/>
      <c r="D64" s="53"/>
      <c r="E64" s="53"/>
      <c r="F64" s="42"/>
      <c r="G64" s="42"/>
      <c r="H64" s="53"/>
      <c r="I64" s="38"/>
      <c r="J64" s="39"/>
      <c r="K64" s="40"/>
      <c r="L64" s="38"/>
      <c r="M64" s="39"/>
      <c r="N64" s="40"/>
    </row>
    <row r="65" spans="2:14" ht="14" thickBot="1" x14ac:dyDescent="0.2">
      <c r="B65" s="42"/>
      <c r="C65" s="42"/>
      <c r="D65" s="42"/>
      <c r="E65" s="54"/>
      <c r="F65" s="42"/>
      <c r="G65" s="42"/>
      <c r="H65" s="19" t="s">
        <v>17</v>
      </c>
      <c r="I65" s="16">
        <f t="shared" ref="I65:N65" si="2">SUM(I3:I62)</f>
        <v>271.70170061034929</v>
      </c>
      <c r="J65" s="17">
        <f t="shared" si="2"/>
        <v>270.40212451097642</v>
      </c>
      <c r="K65" s="18">
        <f t="shared" si="2"/>
        <v>270.40212451097642</v>
      </c>
      <c r="L65" s="16">
        <f t="shared" si="2"/>
        <v>87.298299389650765</v>
      </c>
      <c r="M65" s="17">
        <f t="shared" si="2"/>
        <v>88.597875489023608</v>
      </c>
      <c r="N65" s="18">
        <f t="shared" si="2"/>
        <v>88.597875489023593</v>
      </c>
    </row>
    <row r="66" spans="2:14" x14ac:dyDescent="0.15">
      <c r="B66" s="42"/>
      <c r="C66" s="42"/>
      <c r="D66" s="42"/>
      <c r="E66" s="42"/>
      <c r="F66" s="42"/>
      <c r="G66" s="42"/>
      <c r="H66" s="42"/>
      <c r="I66" s="39"/>
      <c r="J66" s="39"/>
      <c r="K66" s="39"/>
      <c r="L66" s="39"/>
      <c r="M66" s="39"/>
      <c r="N66" s="39"/>
    </row>
    <row r="67" spans="2:14" x14ac:dyDescent="0.15"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</row>
    <row r="68" spans="2:14" x14ac:dyDescent="0.15"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</row>
    <row r="69" spans="2:14" x14ac:dyDescent="0.15">
      <c r="B69" s="42"/>
      <c r="C69" s="42"/>
      <c r="D69" s="42"/>
      <c r="E69" s="42"/>
      <c r="F69" s="42"/>
      <c r="G69" s="42"/>
      <c r="H69" s="42"/>
      <c r="I69" s="42"/>
      <c r="J69" s="19"/>
      <c r="K69" s="42"/>
      <c r="L69" s="42"/>
      <c r="M69" s="42"/>
      <c r="N69" s="42"/>
    </row>
    <row r="70" spans="2:14" x14ac:dyDescent="0.15"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2:14" x14ac:dyDescent="0.15"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</row>
    <row r="72" spans="2:14" x14ac:dyDescent="0.15">
      <c r="B72" s="42"/>
      <c r="C72" s="19"/>
      <c r="D72" s="19"/>
      <c r="E72" s="42"/>
      <c r="F72" s="42"/>
      <c r="G72" s="42"/>
      <c r="H72" s="42"/>
      <c r="I72" s="42"/>
      <c r="J72" s="42"/>
      <c r="K72" s="42"/>
      <c r="L72" s="42"/>
      <c r="M72" s="42"/>
      <c r="N72" s="42"/>
    </row>
    <row r="73" spans="2:14" x14ac:dyDescent="0.15">
      <c r="B73" s="42"/>
      <c r="C73" s="19"/>
      <c r="D73" s="19"/>
      <c r="E73" s="42"/>
      <c r="F73" s="42"/>
      <c r="G73" s="42"/>
      <c r="H73" s="42"/>
      <c r="I73" s="42"/>
      <c r="J73" s="42"/>
      <c r="K73" s="42"/>
      <c r="L73" s="42"/>
      <c r="M73" s="42"/>
      <c r="N73" s="42"/>
    </row>
    <row r="74" spans="2:14" x14ac:dyDescent="0.15">
      <c r="B74" s="42"/>
      <c r="C74" s="19"/>
      <c r="D74" s="19"/>
      <c r="E74" s="42"/>
      <c r="F74" s="42"/>
      <c r="G74" s="42"/>
      <c r="H74" s="42"/>
      <c r="I74" s="42"/>
      <c r="J74" s="42"/>
      <c r="K74" s="42"/>
      <c r="L74" s="42"/>
      <c r="M74" s="42"/>
      <c r="N74" s="42"/>
    </row>
    <row r="75" spans="2:14" x14ac:dyDescent="0.15">
      <c r="B75" s="42"/>
      <c r="C75" s="19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</row>
    <row r="76" spans="2:14" x14ac:dyDescent="0.15">
      <c r="B76" s="42"/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</row>
    <row r="77" spans="2:14" x14ac:dyDescent="0.15"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</row>
    <row r="78" spans="2:14" x14ac:dyDescent="0.15">
      <c r="B78" s="42"/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</row>
    <row r="79" spans="2:14" x14ac:dyDescent="0.15"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</row>
    <row r="80" spans="2:14" x14ac:dyDescent="0.15">
      <c r="B80" s="42"/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</row>
    <row r="81" spans="2:14" x14ac:dyDescent="0.15"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</row>
    <row r="82" spans="2:14" x14ac:dyDescent="0.15"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</row>
    <row r="83" spans="2:14" x14ac:dyDescent="0.15"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</row>
    <row r="84" spans="2:14" x14ac:dyDescent="0.15"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</row>
    <row r="85" spans="2:14" x14ac:dyDescent="0.15"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</row>
    <row r="86" spans="2:14" x14ac:dyDescent="0.15">
      <c r="B86" s="42"/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</row>
    <row r="87" spans="2:14" x14ac:dyDescent="0.15"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</row>
    <row r="88" spans="2:14" x14ac:dyDescent="0.15"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</row>
    <row r="89" spans="2:14" x14ac:dyDescent="0.15"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</row>
    <row r="90" spans="2:14" x14ac:dyDescent="0.15"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</row>
    <row r="91" spans="2:14" x14ac:dyDescent="0.15"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</row>
    <row r="92" spans="2:14" x14ac:dyDescent="0.15"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</row>
    <row r="93" spans="2:14" x14ac:dyDescent="0.15"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</row>
    <row r="94" spans="2:14" x14ac:dyDescent="0.15"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</row>
    <row r="95" spans="2:14" x14ac:dyDescent="0.15"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</row>
    <row r="96" spans="2:14" x14ac:dyDescent="0.15"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</row>
    <row r="97" spans="2:14" x14ac:dyDescent="0.15">
      <c r="B97" s="42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</row>
    <row r="98" spans="2:14" x14ac:dyDescent="0.15">
      <c r="B98" s="42"/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</row>
    <row r="99" spans="2:14" x14ac:dyDescent="0.15">
      <c r="B99" s="42"/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</row>
    <row r="100" spans="2:14" x14ac:dyDescent="0.15">
      <c r="B100" s="42"/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</row>
    <row r="101" spans="2:14" x14ac:dyDescent="0.15">
      <c r="B101" s="42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</row>
    <row r="102" spans="2:14" x14ac:dyDescent="0.15">
      <c r="B102" s="42"/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</row>
  </sheetData>
  <mergeCells count="122">
    <mergeCell ref="M49:M50"/>
    <mergeCell ref="M51:M52"/>
    <mergeCell ref="M53:M54"/>
    <mergeCell ref="M55:M56"/>
    <mergeCell ref="J49:J50"/>
    <mergeCell ref="J51:J52"/>
    <mergeCell ref="J53:J54"/>
    <mergeCell ref="J55:J56"/>
    <mergeCell ref="M59:M60"/>
    <mergeCell ref="I15:I18"/>
    <mergeCell ref="D57:D58"/>
    <mergeCell ref="D59:D60"/>
    <mergeCell ref="J57:J58"/>
    <mergeCell ref="J59:J60"/>
    <mergeCell ref="J61:J62"/>
    <mergeCell ref="I59:I62"/>
    <mergeCell ref="M61:M62"/>
    <mergeCell ref="M57:M58"/>
    <mergeCell ref="L23:L26"/>
    <mergeCell ref="L47:L50"/>
    <mergeCell ref="L51:L54"/>
    <mergeCell ref="L55:L58"/>
    <mergeCell ref="L59:L62"/>
    <mergeCell ref="D61:D62"/>
    <mergeCell ref="I23:I26"/>
    <mergeCell ref="I47:I50"/>
    <mergeCell ref="I51:I54"/>
    <mergeCell ref="I55:I58"/>
    <mergeCell ref="D49:D50"/>
    <mergeCell ref="D51:D52"/>
    <mergeCell ref="D53:D54"/>
    <mergeCell ref="D55:D56"/>
    <mergeCell ref="D41:D42"/>
    <mergeCell ref="I1:K1"/>
    <mergeCell ref="I3:I6"/>
    <mergeCell ref="I7:I10"/>
    <mergeCell ref="I11:I14"/>
    <mergeCell ref="J3:J4"/>
    <mergeCell ref="L1:N1"/>
    <mergeCell ref="D23:D24"/>
    <mergeCell ref="D25:D26"/>
    <mergeCell ref="D47:D48"/>
    <mergeCell ref="J23:J24"/>
    <mergeCell ref="J25:J26"/>
    <mergeCell ref="J47:J48"/>
    <mergeCell ref="M23:M24"/>
    <mergeCell ref="M25:M26"/>
    <mergeCell ref="M47:M48"/>
    <mergeCell ref="L3:L6"/>
    <mergeCell ref="L7:L10"/>
    <mergeCell ref="L11:L14"/>
    <mergeCell ref="L15:L18"/>
    <mergeCell ref="L19:L22"/>
    <mergeCell ref="J17:J18"/>
    <mergeCell ref="J21:J22"/>
    <mergeCell ref="J15:J16"/>
    <mergeCell ref="J5:J6"/>
    <mergeCell ref="D15:D16"/>
    <mergeCell ref="D3:D4"/>
    <mergeCell ref="D5:D6"/>
    <mergeCell ref="D7:D8"/>
    <mergeCell ref="D9:D10"/>
    <mergeCell ref="D17:D18"/>
    <mergeCell ref="M21:M22"/>
    <mergeCell ref="M11:M12"/>
    <mergeCell ref="M13:M14"/>
    <mergeCell ref="M15:M16"/>
    <mergeCell ref="M17:M18"/>
    <mergeCell ref="J19:J20"/>
    <mergeCell ref="I19:I22"/>
    <mergeCell ref="D11:D12"/>
    <mergeCell ref="D13:D14"/>
    <mergeCell ref="M3:M4"/>
    <mergeCell ref="M5:M6"/>
    <mergeCell ref="M7:M8"/>
    <mergeCell ref="M9:M10"/>
    <mergeCell ref="M19:M20"/>
    <mergeCell ref="J9:J10"/>
    <mergeCell ref="J13:J14"/>
    <mergeCell ref="J7:J8"/>
    <mergeCell ref="J11:J12"/>
    <mergeCell ref="D29:D30"/>
    <mergeCell ref="D31:D32"/>
    <mergeCell ref="D33:D34"/>
    <mergeCell ref="D19:D20"/>
    <mergeCell ref="D21:D22"/>
    <mergeCell ref="D43:D44"/>
    <mergeCell ref="D45:D46"/>
    <mergeCell ref="I27:I30"/>
    <mergeCell ref="I31:I34"/>
    <mergeCell ref="I35:I38"/>
    <mergeCell ref="I39:I42"/>
    <mergeCell ref="I43:I46"/>
    <mergeCell ref="D35:D36"/>
    <mergeCell ref="D37:D38"/>
    <mergeCell ref="D39:D40"/>
    <mergeCell ref="D27:D28"/>
    <mergeCell ref="M43:M44"/>
    <mergeCell ref="M45:M46"/>
    <mergeCell ref="M35:M36"/>
    <mergeCell ref="M37:M38"/>
    <mergeCell ref="M39:M40"/>
    <mergeCell ref="M41:M42"/>
    <mergeCell ref="M27:M28"/>
    <mergeCell ref="M29:M30"/>
    <mergeCell ref="M31:M32"/>
    <mergeCell ref="M33:M34"/>
    <mergeCell ref="J43:J44"/>
    <mergeCell ref="J45:J46"/>
    <mergeCell ref="L27:L30"/>
    <mergeCell ref="L31:L34"/>
    <mergeCell ref="L35:L38"/>
    <mergeCell ref="L39:L42"/>
    <mergeCell ref="L43:L46"/>
    <mergeCell ref="J35:J36"/>
    <mergeCell ref="J37:J38"/>
    <mergeCell ref="J39:J40"/>
    <mergeCell ref="J41:J42"/>
    <mergeCell ref="J27:J28"/>
    <mergeCell ref="J29:J30"/>
    <mergeCell ref="J31:J32"/>
    <mergeCell ref="J33:J3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61"/>
  <sheetViews>
    <sheetView workbookViewId="0">
      <pane ySplit="1" topLeftCell="A2" activePane="bottomLeft" state="frozenSplit"/>
      <selection activeCell="B45" sqref="B45"/>
      <selection pane="bottomLeft" activeCell="H3" sqref="H3"/>
    </sheetView>
  </sheetViews>
  <sheetFormatPr baseColWidth="10" defaultColWidth="9.1640625" defaultRowHeight="13" x14ac:dyDescent="0.15"/>
  <cols>
    <col min="1" max="1" width="19.1640625" style="74" customWidth="1"/>
    <col min="2" max="2" width="22.83203125" style="74" customWidth="1"/>
    <col min="3" max="3" width="20.1640625" style="74" customWidth="1"/>
    <col min="4" max="4" width="22.5" style="74" customWidth="1"/>
    <col min="5" max="5" width="16.1640625" style="74" customWidth="1"/>
    <col min="6" max="6" width="21.1640625" style="74" customWidth="1"/>
    <col min="7" max="7" width="20.1640625" style="74" customWidth="1"/>
    <col min="8" max="8" width="19.6640625" style="74" customWidth="1"/>
    <col min="9" max="16384" width="9.1640625" style="12"/>
  </cols>
  <sheetData>
    <row r="1" spans="1:8" ht="16" x14ac:dyDescent="0.2">
      <c r="A1" s="71" t="s">
        <v>18</v>
      </c>
      <c r="B1" s="71" t="s">
        <v>19</v>
      </c>
      <c r="C1" s="71" t="s">
        <v>20</v>
      </c>
      <c r="D1" s="71" t="s">
        <v>21</v>
      </c>
      <c r="E1" s="71" t="s">
        <v>22</v>
      </c>
      <c r="F1" s="71" t="s">
        <v>23</v>
      </c>
      <c r="G1" s="71" t="s">
        <v>52</v>
      </c>
      <c r="H1" s="71" t="s">
        <v>53</v>
      </c>
    </row>
    <row r="2" spans="1:8" ht="16" x14ac:dyDescent="0.2">
      <c r="A2" s="72">
        <f>IF(B2="","",IF('Number events &amp; censored'!B3=0,0.0001,'Number events &amp; censored'!B3))</f>
        <v>1E-4</v>
      </c>
      <c r="B2" s="72">
        <f>'Number events &amp; censored'!C3</f>
        <v>0.75</v>
      </c>
      <c r="C2" s="72">
        <f t="shared" ref="C2:C61" si="0">IF(A2="","",A2+2*(B2-A2))</f>
        <v>1.4999</v>
      </c>
      <c r="D2" s="72">
        <f>IF(A2="","",10000)</f>
        <v>10000</v>
      </c>
      <c r="E2" s="73">
        <f>IF('Number events &amp; censored'!K3="","",ROUND('Number events &amp; censored'!K3,0))</f>
        <v>8</v>
      </c>
      <c r="F2" s="73">
        <f>IF('Number events &amp; censored'!N3="","",ROUND('Number events &amp; censored'!N3,0))</f>
        <v>1</v>
      </c>
      <c r="G2" s="73">
        <f>MAX('Number events &amp; censored'!O15, 0)</f>
        <v>19</v>
      </c>
      <c r="H2" s="73">
        <f>MAX('Number events &amp; censored'!O16, 0)</f>
        <v>30</v>
      </c>
    </row>
    <row r="3" spans="1:8" ht="16" x14ac:dyDescent="0.2">
      <c r="A3" s="72">
        <f>IF(B3="","",IF('Number events &amp; censored'!B4=0,0.0001,'Number events &amp; censored'!B4))</f>
        <v>1.5</v>
      </c>
      <c r="B3" s="72">
        <f>'Number events &amp; censored'!C4</f>
        <v>2.25</v>
      </c>
      <c r="C3" s="72">
        <f t="shared" si="0"/>
        <v>3</v>
      </c>
      <c r="D3" s="72">
        <f t="shared" ref="D3:D61" si="1">IF(A3="","",10000)</f>
        <v>10000</v>
      </c>
      <c r="E3" s="73">
        <f>IF('Number events &amp; censored'!K4="","",ROUND('Number events &amp; censored'!K4,0))</f>
        <v>9</v>
      </c>
      <c r="F3" s="73">
        <f>IF('Number events &amp; censored'!N4="","",ROUND('Number events &amp; censored'!N4,0))</f>
        <v>1</v>
      </c>
    </row>
    <row r="4" spans="1:8" ht="16" x14ac:dyDescent="0.2">
      <c r="A4" s="72">
        <f>IF(B4="","",IF('Number events &amp; censored'!B5=0,0.0001,'Number events &amp; censored'!B5))</f>
        <v>3</v>
      </c>
      <c r="B4" s="72">
        <f>'Number events &amp; censored'!C5</f>
        <v>3.75</v>
      </c>
      <c r="C4" s="72">
        <f t="shared" si="0"/>
        <v>4.5</v>
      </c>
      <c r="D4" s="72">
        <f t="shared" si="1"/>
        <v>10000</v>
      </c>
      <c r="E4" s="73">
        <f>IF('Number events &amp; censored'!K5="","",ROUND('Number events &amp; censored'!K5,0))</f>
        <v>17</v>
      </c>
      <c r="F4" s="73">
        <f>IF('Number events &amp; censored'!N5="","",ROUND('Number events &amp; censored'!N5,0))</f>
        <v>1</v>
      </c>
    </row>
    <row r="5" spans="1:8" ht="16" x14ac:dyDescent="0.2">
      <c r="A5" s="72">
        <f>IF(B5="","",IF('Number events &amp; censored'!B6=0,0.0001,'Number events &amp; censored'!B6))</f>
        <v>4.5</v>
      </c>
      <c r="B5" s="72">
        <f>'Number events &amp; censored'!C6</f>
        <v>5.25</v>
      </c>
      <c r="C5" s="72">
        <f t="shared" si="0"/>
        <v>6</v>
      </c>
      <c r="D5" s="72">
        <f t="shared" si="1"/>
        <v>10000</v>
      </c>
      <c r="E5" s="73">
        <f>IF('Number events &amp; censored'!K6="","",ROUND('Number events &amp; censored'!K6,0))</f>
        <v>19</v>
      </c>
      <c r="F5" s="73">
        <f>IF('Number events &amp; censored'!N6="","",ROUND('Number events &amp; censored'!N6,0))</f>
        <v>1</v>
      </c>
    </row>
    <row r="6" spans="1:8" ht="16" x14ac:dyDescent="0.2">
      <c r="A6" s="72">
        <f>IF(B6="","",IF('Number events &amp; censored'!B7=0,0.0001,'Number events &amp; censored'!B7))</f>
        <v>6</v>
      </c>
      <c r="B6" s="72">
        <f>'Number events &amp; censored'!C7</f>
        <v>6.75</v>
      </c>
      <c r="C6" s="72">
        <f t="shared" si="0"/>
        <v>7.5</v>
      </c>
      <c r="D6" s="72">
        <f t="shared" si="1"/>
        <v>10000</v>
      </c>
      <c r="E6" s="73">
        <f>IF('Number events &amp; censored'!K7="","",ROUND('Number events &amp; censored'!K7,0))</f>
        <v>19</v>
      </c>
      <c r="F6" s="73">
        <f>IF('Number events &amp; censored'!N7="","",ROUND('Number events &amp; censored'!N7,0))</f>
        <v>0</v>
      </c>
    </row>
    <row r="7" spans="1:8" ht="16" x14ac:dyDescent="0.2">
      <c r="A7" s="72">
        <f>IF(B7="","",IF('Number events &amp; censored'!B8=0,0.0001,'Number events &amp; censored'!B8))</f>
        <v>7.5</v>
      </c>
      <c r="B7" s="72">
        <f>'Number events &amp; censored'!C8</f>
        <v>8.25</v>
      </c>
      <c r="C7" s="72">
        <f t="shared" si="0"/>
        <v>9</v>
      </c>
      <c r="D7" s="72">
        <f t="shared" si="1"/>
        <v>10000</v>
      </c>
      <c r="E7" s="73">
        <f>IF('Number events &amp; censored'!K8="","",ROUND('Number events &amp; censored'!K8,0))</f>
        <v>19</v>
      </c>
      <c r="F7" s="73">
        <f>IF('Number events &amp; censored'!N8="","",ROUND('Number events &amp; censored'!N8,0))</f>
        <v>0</v>
      </c>
    </row>
    <row r="8" spans="1:8" ht="16" x14ac:dyDescent="0.2">
      <c r="A8" s="72">
        <f>IF(B8="","",IF('Number events &amp; censored'!B9=0,0.0001,'Number events &amp; censored'!B9))</f>
        <v>9</v>
      </c>
      <c r="B8" s="72">
        <f>'Number events &amp; censored'!C9</f>
        <v>9.75</v>
      </c>
      <c r="C8" s="72">
        <f t="shared" si="0"/>
        <v>10.5</v>
      </c>
      <c r="D8" s="72">
        <f t="shared" si="1"/>
        <v>10000</v>
      </c>
      <c r="E8" s="73">
        <f>IF('Number events &amp; censored'!K9="","",ROUND('Number events &amp; censored'!K9,0))</f>
        <v>22</v>
      </c>
      <c r="F8" s="73">
        <f>IF('Number events &amp; censored'!N9="","",ROUND('Number events &amp; censored'!N9,0))</f>
        <v>0</v>
      </c>
    </row>
    <row r="9" spans="1:8" ht="16" x14ac:dyDescent="0.2">
      <c r="A9" s="72">
        <f>IF(B9="","",IF('Number events &amp; censored'!B10=0,0.0001,'Number events &amp; censored'!B10))</f>
        <v>10.5</v>
      </c>
      <c r="B9" s="72">
        <f>'Number events &amp; censored'!C10</f>
        <v>11.25</v>
      </c>
      <c r="C9" s="72">
        <f t="shared" si="0"/>
        <v>12</v>
      </c>
      <c r="D9" s="72">
        <f t="shared" si="1"/>
        <v>10000</v>
      </c>
      <c r="E9" s="73">
        <f>IF('Number events &amp; censored'!K10="","",ROUND('Number events &amp; censored'!K10,0))</f>
        <v>19</v>
      </c>
      <c r="F9" s="73">
        <f>IF('Number events &amp; censored'!N10="","",ROUND('Number events &amp; censored'!N10,0))</f>
        <v>0</v>
      </c>
    </row>
    <row r="10" spans="1:8" ht="16" x14ac:dyDescent="0.2">
      <c r="A10" s="72">
        <f>IF(B10="","",IF('Number events &amp; censored'!B11=0,0.0001,'Number events &amp; censored'!B11))</f>
        <v>12</v>
      </c>
      <c r="B10" s="72">
        <f>'Number events &amp; censored'!C11</f>
        <v>12.75</v>
      </c>
      <c r="C10" s="72">
        <f t="shared" si="0"/>
        <v>13.5</v>
      </c>
      <c r="D10" s="72">
        <f t="shared" si="1"/>
        <v>10000</v>
      </c>
      <c r="E10" s="73">
        <f>IF('Number events &amp; censored'!K11="","",ROUND('Number events &amp; censored'!K11,0))</f>
        <v>30</v>
      </c>
      <c r="F10" s="73">
        <f>IF('Number events &amp; censored'!N11="","",ROUND('Number events &amp; censored'!N11,0))</f>
        <v>3</v>
      </c>
    </row>
    <row r="11" spans="1:8" ht="16" x14ac:dyDescent="0.2">
      <c r="A11" s="72">
        <f>IF(B11="","",IF('Number events &amp; censored'!B12=0,0.0001,'Number events &amp; censored'!B12))</f>
        <v>13.5</v>
      </c>
      <c r="B11" s="72">
        <f>'Number events &amp; censored'!C12</f>
        <v>14.25</v>
      </c>
      <c r="C11" s="72">
        <f t="shared" si="0"/>
        <v>15</v>
      </c>
      <c r="D11" s="72">
        <f t="shared" si="1"/>
        <v>10000</v>
      </c>
      <c r="E11" s="73">
        <f>IF('Number events &amp; censored'!K12="","",ROUND('Number events &amp; censored'!K12,0))</f>
        <v>25</v>
      </c>
      <c r="F11" s="73">
        <f>IF('Number events &amp; censored'!N12="","",ROUND('Number events &amp; censored'!N12,0))</f>
        <v>3</v>
      </c>
    </row>
    <row r="12" spans="1:8" ht="16" x14ac:dyDescent="0.2">
      <c r="A12" s="72">
        <f>IF(B12="","",IF('Number events &amp; censored'!B13=0,0.0001,'Number events &amp; censored'!B13))</f>
        <v>15</v>
      </c>
      <c r="B12" s="72">
        <f>'Number events &amp; censored'!C13</f>
        <v>15.75</v>
      </c>
      <c r="C12" s="72">
        <f t="shared" si="0"/>
        <v>16.5</v>
      </c>
      <c r="D12" s="72">
        <f t="shared" si="1"/>
        <v>10000</v>
      </c>
      <c r="E12" s="73">
        <f>IF('Number events &amp; censored'!K13="","",ROUND('Number events &amp; censored'!K13,0))</f>
        <v>18</v>
      </c>
      <c r="F12" s="73">
        <f>IF('Number events &amp; censored'!N13="","",ROUND('Number events &amp; censored'!N13,0))</f>
        <v>3</v>
      </c>
    </row>
    <row r="13" spans="1:8" ht="16" x14ac:dyDescent="0.2">
      <c r="A13" s="72">
        <f>IF(B13="","",IF('Number events &amp; censored'!B14=0,0.0001,'Number events &amp; censored'!B14))</f>
        <v>16.5</v>
      </c>
      <c r="B13" s="72">
        <f>'Number events &amp; censored'!C14</f>
        <v>17.25</v>
      </c>
      <c r="C13" s="72">
        <f t="shared" si="0"/>
        <v>18</v>
      </c>
      <c r="D13" s="72">
        <f t="shared" si="1"/>
        <v>10000</v>
      </c>
      <c r="E13" s="73">
        <f>IF('Number events &amp; censored'!K14="","",ROUND('Number events &amp; censored'!K14,0))</f>
        <v>19</v>
      </c>
      <c r="F13" s="73">
        <f>IF('Number events &amp; censored'!N14="","",ROUND('Number events &amp; censored'!N14,0))</f>
        <v>3</v>
      </c>
    </row>
    <row r="14" spans="1:8" ht="16" x14ac:dyDescent="0.2">
      <c r="A14" s="72">
        <f>IF(B14="","",IF('Number events &amp; censored'!B15=0,0.0001,'Number events &amp; censored'!B15))</f>
        <v>18</v>
      </c>
      <c r="B14" s="72">
        <f>'Number events &amp; censored'!C15</f>
        <v>18.75</v>
      </c>
      <c r="C14" s="72">
        <f t="shared" si="0"/>
        <v>19.5</v>
      </c>
      <c r="D14" s="72">
        <f t="shared" si="1"/>
        <v>10000</v>
      </c>
      <c r="E14" s="73">
        <f>IF('Number events &amp; censored'!K15="","",ROUND('Number events &amp; censored'!K15,0))</f>
        <v>9</v>
      </c>
      <c r="F14" s="73">
        <f>IF('Number events &amp; censored'!N15="","",ROUND('Number events &amp; censored'!N15,0))</f>
        <v>11</v>
      </c>
    </row>
    <row r="15" spans="1:8" ht="16" x14ac:dyDescent="0.2">
      <c r="A15" s="72">
        <f>IF(B15="","",IF('Number events &amp; censored'!B16=0,0.0001,'Number events &amp; censored'!B16))</f>
        <v>19.5</v>
      </c>
      <c r="B15" s="72">
        <f>'Number events &amp; censored'!C16</f>
        <v>20.25</v>
      </c>
      <c r="C15" s="72">
        <f t="shared" si="0"/>
        <v>21</v>
      </c>
      <c r="D15" s="72">
        <f t="shared" si="1"/>
        <v>10000</v>
      </c>
      <c r="E15" s="73">
        <f>IF('Number events &amp; censored'!K16="","",ROUND('Number events &amp; censored'!K16,0))</f>
        <v>14</v>
      </c>
      <c r="F15" s="73">
        <f>IF('Number events &amp; censored'!N16="","",ROUND('Number events &amp; censored'!N16,0))</f>
        <v>11</v>
      </c>
    </row>
    <row r="16" spans="1:8" ht="16" x14ac:dyDescent="0.2">
      <c r="A16" s="72">
        <f>IF(B16="","",IF('Number events &amp; censored'!B17=0,0.0001,'Number events &amp; censored'!B17))</f>
        <v>21</v>
      </c>
      <c r="B16" s="72">
        <f>'Number events &amp; censored'!C17</f>
        <v>21.75</v>
      </c>
      <c r="C16" s="72">
        <f t="shared" si="0"/>
        <v>22.5</v>
      </c>
      <c r="D16" s="72">
        <f t="shared" si="1"/>
        <v>10000</v>
      </c>
      <c r="E16" s="73">
        <f>IF('Number events &amp; censored'!K17="","",ROUND('Number events &amp; censored'!K17,0))</f>
        <v>4</v>
      </c>
      <c r="F16" s="73">
        <f>IF('Number events &amp; censored'!N17="","",ROUND('Number events &amp; censored'!N17,0))</f>
        <v>11</v>
      </c>
    </row>
    <row r="17" spans="1:6" ht="16" x14ac:dyDescent="0.2">
      <c r="A17" s="72">
        <f>IF(B17="","",IF('Number events &amp; censored'!B18=0,0.0001,'Number events &amp; censored'!B18))</f>
        <v>22.5</v>
      </c>
      <c r="B17" s="72">
        <f>'Number events &amp; censored'!C18</f>
        <v>23.25</v>
      </c>
      <c r="C17" s="72">
        <f t="shared" si="0"/>
        <v>24</v>
      </c>
      <c r="D17" s="72">
        <f t="shared" si="1"/>
        <v>10000</v>
      </c>
      <c r="E17" s="73">
        <f>IF('Number events &amp; censored'!K18="","",ROUND('Number events &amp; censored'!K18,0))</f>
        <v>7</v>
      </c>
      <c r="F17" s="73">
        <f>IF('Number events &amp; censored'!N18="","",ROUND('Number events &amp; censored'!N18,0))</f>
        <v>11</v>
      </c>
    </row>
    <row r="18" spans="1:6" ht="16" x14ac:dyDescent="0.2">
      <c r="A18" s="72">
        <f>IF(B18="","",IF('Number events &amp; censored'!B19=0,0.0001,'Number events &amp; censored'!B19))</f>
        <v>24</v>
      </c>
      <c r="B18" s="72">
        <f>'Number events &amp; censored'!C19</f>
        <v>24.75</v>
      </c>
      <c r="C18" s="72">
        <f t="shared" si="0"/>
        <v>25.5</v>
      </c>
      <c r="D18" s="72">
        <f t="shared" si="1"/>
        <v>10000</v>
      </c>
      <c r="E18" s="73">
        <f>IF('Number events &amp; censored'!K19="","",ROUND('Number events &amp; censored'!K19,0))</f>
        <v>6</v>
      </c>
      <c r="F18" s="73">
        <f>IF('Number events &amp; censored'!N19="","",ROUND('Number events &amp; censored'!N19,0))</f>
        <v>7</v>
      </c>
    </row>
    <row r="19" spans="1:6" ht="16" x14ac:dyDescent="0.2">
      <c r="A19" s="72">
        <f>IF(B19="","",IF('Number events &amp; censored'!B20=0,0.0001,'Number events &amp; censored'!B20))</f>
        <v>25.5</v>
      </c>
      <c r="B19" s="72">
        <f>'Number events &amp; censored'!C20</f>
        <v>26.25</v>
      </c>
      <c r="C19" s="72">
        <f t="shared" si="0"/>
        <v>27</v>
      </c>
      <c r="D19" s="72">
        <f t="shared" si="1"/>
        <v>10000</v>
      </c>
      <c r="E19" s="73">
        <f>IF('Number events &amp; censored'!K20="","",ROUND('Number events &amp; censored'!K20,0))</f>
        <v>0</v>
      </c>
      <c r="F19" s="73">
        <f>IF('Number events &amp; censored'!N20="","",ROUND('Number events &amp; censored'!N20,0))</f>
        <v>7</v>
      </c>
    </row>
    <row r="20" spans="1:6" ht="16" x14ac:dyDescent="0.2">
      <c r="A20" s="72">
        <f>IF(B20="","",IF('Number events &amp; censored'!B21=0,0.0001,'Number events &amp; censored'!B21))</f>
        <v>27</v>
      </c>
      <c r="B20" s="72">
        <f>'Number events &amp; censored'!C21</f>
        <v>27.75</v>
      </c>
      <c r="C20" s="72">
        <f t="shared" si="0"/>
        <v>28.5</v>
      </c>
      <c r="D20" s="72">
        <f t="shared" si="1"/>
        <v>10000</v>
      </c>
      <c r="E20" s="73">
        <f>IF('Number events &amp; censored'!K21="","",ROUND('Number events &amp; censored'!K21,0))</f>
        <v>3</v>
      </c>
      <c r="F20" s="73">
        <f>IF('Number events &amp; censored'!N21="","",ROUND('Number events &amp; censored'!N21,0))</f>
        <v>7</v>
      </c>
    </row>
    <row r="21" spans="1:6" ht="16" x14ac:dyDescent="0.2">
      <c r="A21" s="72">
        <f>IF(B21="","",IF('Number events &amp; censored'!B22=0,0.0001,'Number events &amp; censored'!B22))</f>
        <v>28.5</v>
      </c>
      <c r="B21" s="72">
        <f>'Number events &amp; censored'!C22</f>
        <v>29.25</v>
      </c>
      <c r="C21" s="72">
        <f t="shared" si="0"/>
        <v>30</v>
      </c>
      <c r="D21" s="72">
        <f t="shared" si="1"/>
        <v>10000</v>
      </c>
      <c r="E21" s="73">
        <f>IF('Number events &amp; censored'!K22="","",ROUND('Number events &amp; censored'!K22,0))</f>
        <v>5</v>
      </c>
      <c r="F21" s="73">
        <f>IF('Number events &amp; censored'!N22="","",ROUND('Number events &amp; censored'!N22,0))</f>
        <v>7</v>
      </c>
    </row>
    <row r="22" spans="1:6" x14ac:dyDescent="0.15">
      <c r="A22" s="55" t="str">
        <f>IF(B22="","",IF('Number events &amp; censored'!B23=0,0.0001,'Number events &amp; censored'!B23))</f>
        <v/>
      </c>
      <c r="B22" s="55" t="str">
        <f>'Number events &amp; censored'!C23</f>
        <v/>
      </c>
      <c r="C22" s="55" t="str">
        <f t="shared" si="0"/>
        <v/>
      </c>
      <c r="D22" s="55" t="str">
        <f t="shared" si="1"/>
        <v/>
      </c>
      <c r="E22" s="39" t="str">
        <f>IF('Number events &amp; censored'!K23="","",ROUND('Number events &amp; censored'!K23,0))</f>
        <v/>
      </c>
      <c r="F22" s="39" t="str">
        <f>IF('Number events &amp; censored'!N23="","",ROUND('Number events &amp; censored'!N23,0))</f>
        <v/>
      </c>
    </row>
    <row r="23" spans="1:6" x14ac:dyDescent="0.15">
      <c r="A23" s="55" t="str">
        <f>IF(B23="","",IF('Number events &amp; censored'!B24=0,0.0001,'Number events &amp; censored'!B24))</f>
        <v/>
      </c>
      <c r="B23" s="55" t="str">
        <f>'Number events &amp; censored'!C24</f>
        <v/>
      </c>
      <c r="C23" s="55" t="str">
        <f t="shared" si="0"/>
        <v/>
      </c>
      <c r="D23" s="55" t="str">
        <f t="shared" si="1"/>
        <v/>
      </c>
      <c r="E23" s="39" t="str">
        <f>IF('Number events &amp; censored'!K24="","",ROUND('Number events &amp; censored'!K24,0))</f>
        <v/>
      </c>
      <c r="F23" s="39" t="str">
        <f>IF('Number events &amp; censored'!N24="","",ROUND('Number events &amp; censored'!N24,0))</f>
        <v/>
      </c>
    </row>
    <row r="24" spans="1:6" x14ac:dyDescent="0.15">
      <c r="A24" s="55" t="str">
        <f>IF(B24="","",IF('Number events &amp; censored'!B25=0,0.0001,'Number events &amp; censored'!B25))</f>
        <v/>
      </c>
      <c r="B24" s="55" t="str">
        <f>'Number events &amp; censored'!C25</f>
        <v/>
      </c>
      <c r="C24" s="55" t="str">
        <f t="shared" si="0"/>
        <v/>
      </c>
      <c r="D24" s="55" t="str">
        <f t="shared" si="1"/>
        <v/>
      </c>
      <c r="E24" s="39" t="str">
        <f>IF('Number events &amp; censored'!K25="","",ROUND('Number events &amp; censored'!K25,0))</f>
        <v/>
      </c>
      <c r="F24" s="39" t="str">
        <f>IF('Number events &amp; censored'!N25="","",ROUND('Number events &amp; censored'!N25,0))</f>
        <v/>
      </c>
    </row>
    <row r="25" spans="1:6" x14ac:dyDescent="0.15">
      <c r="A25" s="55" t="str">
        <f>IF(B25="","",IF('Number events &amp; censored'!B26=0,0.0001,'Number events &amp; censored'!B26))</f>
        <v/>
      </c>
      <c r="B25" s="55" t="str">
        <f>'Number events &amp; censored'!C26</f>
        <v/>
      </c>
      <c r="C25" s="55" t="str">
        <f t="shared" si="0"/>
        <v/>
      </c>
      <c r="D25" s="55" t="str">
        <f t="shared" si="1"/>
        <v/>
      </c>
      <c r="E25" s="39" t="str">
        <f>IF('Number events &amp; censored'!K26="","",ROUND('Number events &amp; censored'!K26,0))</f>
        <v/>
      </c>
      <c r="F25" s="39" t="str">
        <f>IF('Number events &amp; censored'!N26="","",ROUND('Number events &amp; censored'!N26,0))</f>
        <v/>
      </c>
    </row>
    <row r="26" spans="1:6" x14ac:dyDescent="0.15">
      <c r="A26" s="55" t="str">
        <f>IF(B26="","",IF('Number events &amp; censored'!B27=0,0.0001,'Number events &amp; censored'!B27))</f>
        <v/>
      </c>
      <c r="B26" s="55" t="str">
        <f>'Number events &amp; censored'!C27</f>
        <v/>
      </c>
      <c r="C26" s="55" t="str">
        <f t="shared" si="0"/>
        <v/>
      </c>
      <c r="D26" s="55" t="str">
        <f t="shared" si="1"/>
        <v/>
      </c>
      <c r="E26" s="39" t="str">
        <f>IF('Number events &amp; censored'!K27="","",ROUND('Number events &amp; censored'!K27,0))</f>
        <v/>
      </c>
      <c r="F26" s="39" t="str">
        <f>IF('Number events &amp; censored'!N27="","",ROUND('Number events &amp; censored'!N27,0))</f>
        <v/>
      </c>
    </row>
    <row r="27" spans="1:6" x14ac:dyDescent="0.15">
      <c r="A27" s="55" t="str">
        <f>IF(B27="","",IF('Number events &amp; censored'!B28=0,0.0001,'Number events &amp; censored'!B28))</f>
        <v/>
      </c>
      <c r="B27" s="55" t="str">
        <f>'Number events &amp; censored'!C28</f>
        <v/>
      </c>
      <c r="C27" s="55" t="str">
        <f t="shared" si="0"/>
        <v/>
      </c>
      <c r="D27" s="55" t="str">
        <f t="shared" si="1"/>
        <v/>
      </c>
      <c r="E27" s="39" t="str">
        <f>IF('Number events &amp; censored'!K28="","",ROUND('Number events &amp; censored'!K28,0))</f>
        <v/>
      </c>
      <c r="F27" s="39" t="str">
        <f>IF('Number events &amp; censored'!N28="","",ROUND('Number events &amp; censored'!N28,0))</f>
        <v/>
      </c>
    </row>
    <row r="28" spans="1:6" x14ac:dyDescent="0.15">
      <c r="A28" s="55" t="str">
        <f>IF(B28="","",IF('Number events &amp; censored'!B29=0,0.0001,'Number events &amp; censored'!B29))</f>
        <v/>
      </c>
      <c r="B28" s="55" t="str">
        <f>'Number events &amp; censored'!C29</f>
        <v/>
      </c>
      <c r="C28" s="55" t="str">
        <f t="shared" si="0"/>
        <v/>
      </c>
      <c r="D28" s="55" t="str">
        <f t="shared" si="1"/>
        <v/>
      </c>
      <c r="E28" s="39" t="str">
        <f>IF('Number events &amp; censored'!K29="","",ROUND('Number events &amp; censored'!K29,0))</f>
        <v/>
      </c>
      <c r="F28" s="39" t="str">
        <f>IF('Number events &amp; censored'!N29="","",ROUND('Number events &amp; censored'!N29,0))</f>
        <v/>
      </c>
    </row>
    <row r="29" spans="1:6" x14ac:dyDescent="0.15">
      <c r="A29" s="55" t="str">
        <f>IF(B29="","",IF('Number events &amp; censored'!B30=0,0.0001,'Number events &amp; censored'!B30))</f>
        <v/>
      </c>
      <c r="B29" s="55" t="str">
        <f>'Number events &amp; censored'!C30</f>
        <v/>
      </c>
      <c r="C29" s="55" t="str">
        <f t="shared" si="0"/>
        <v/>
      </c>
      <c r="D29" s="55" t="str">
        <f t="shared" si="1"/>
        <v/>
      </c>
      <c r="E29" s="39" t="str">
        <f>IF('Number events &amp; censored'!K30="","",ROUND('Number events &amp; censored'!K30,0))</f>
        <v/>
      </c>
      <c r="F29" s="39" t="str">
        <f>IF('Number events &amp; censored'!N30="","",ROUND('Number events &amp; censored'!N30,0))</f>
        <v/>
      </c>
    </row>
    <row r="30" spans="1:6" x14ac:dyDescent="0.15">
      <c r="A30" s="55" t="str">
        <f>IF(B30="","",IF('Number events &amp; censored'!B31=0,0.0001,'Number events &amp; censored'!B31))</f>
        <v/>
      </c>
      <c r="B30" s="55" t="str">
        <f>'Number events &amp; censored'!C31</f>
        <v/>
      </c>
      <c r="C30" s="55" t="str">
        <f t="shared" si="0"/>
        <v/>
      </c>
      <c r="D30" s="55" t="str">
        <f t="shared" si="1"/>
        <v/>
      </c>
      <c r="E30" s="39" t="str">
        <f>IF('Number events &amp; censored'!K31="","",ROUND('Number events &amp; censored'!K31,0))</f>
        <v/>
      </c>
      <c r="F30" s="39" t="str">
        <f>IF('Number events &amp; censored'!N31="","",ROUND('Number events &amp; censored'!N31,0))</f>
        <v/>
      </c>
    </row>
    <row r="31" spans="1:6" x14ac:dyDescent="0.15">
      <c r="A31" s="55" t="str">
        <f>IF(B31="","",IF('Number events &amp; censored'!B32=0,0.0001,'Number events &amp; censored'!B32))</f>
        <v/>
      </c>
      <c r="B31" s="55" t="str">
        <f>'Number events &amp; censored'!C32</f>
        <v/>
      </c>
      <c r="C31" s="55" t="str">
        <f t="shared" si="0"/>
        <v/>
      </c>
      <c r="D31" s="55" t="str">
        <f t="shared" si="1"/>
        <v/>
      </c>
      <c r="E31" s="39" t="str">
        <f>IF('Number events &amp; censored'!K32="","",ROUND('Number events &amp; censored'!K32,0))</f>
        <v/>
      </c>
      <c r="F31" s="39" t="str">
        <f>IF('Number events &amp; censored'!N32="","",ROUND('Number events &amp; censored'!N32,0))</f>
        <v/>
      </c>
    </row>
    <row r="32" spans="1:6" x14ac:dyDescent="0.15">
      <c r="A32" s="55" t="str">
        <f>IF(B32="","",IF('Number events &amp; censored'!B33=0,0.0001,'Number events &amp; censored'!B33))</f>
        <v/>
      </c>
      <c r="B32" s="55" t="str">
        <f>'Number events &amp; censored'!C33</f>
        <v/>
      </c>
      <c r="C32" s="55" t="str">
        <f t="shared" si="0"/>
        <v/>
      </c>
      <c r="D32" s="55" t="str">
        <f t="shared" si="1"/>
        <v/>
      </c>
      <c r="E32" s="39" t="str">
        <f>IF('Number events &amp; censored'!K33="","",ROUND('Number events &amp; censored'!K33,0))</f>
        <v/>
      </c>
      <c r="F32" s="39" t="str">
        <f>IF('Number events &amp; censored'!N33="","",ROUND('Number events &amp; censored'!N33,0))</f>
        <v/>
      </c>
    </row>
    <row r="33" spans="1:6" x14ac:dyDescent="0.15">
      <c r="A33" s="55" t="str">
        <f>IF(B33="","",IF('Number events &amp; censored'!B34=0,0.0001,'Number events &amp; censored'!B34))</f>
        <v/>
      </c>
      <c r="B33" s="55" t="str">
        <f>'Number events &amp; censored'!C34</f>
        <v/>
      </c>
      <c r="C33" s="55" t="str">
        <f t="shared" si="0"/>
        <v/>
      </c>
      <c r="D33" s="55" t="str">
        <f t="shared" si="1"/>
        <v/>
      </c>
      <c r="E33" s="39" t="str">
        <f>IF('Number events &amp; censored'!K34="","",ROUND('Number events &amp; censored'!K34,0))</f>
        <v/>
      </c>
      <c r="F33" s="39" t="str">
        <f>IF('Number events &amp; censored'!N34="","",ROUND('Number events &amp; censored'!N34,0))</f>
        <v/>
      </c>
    </row>
    <row r="34" spans="1:6" x14ac:dyDescent="0.15">
      <c r="A34" s="55" t="str">
        <f>IF(B34="","",IF('Number events &amp; censored'!B35=0,0.0001,'Number events &amp; censored'!B35))</f>
        <v/>
      </c>
      <c r="B34" s="55" t="str">
        <f>'Number events &amp; censored'!C35</f>
        <v/>
      </c>
      <c r="C34" s="55" t="str">
        <f t="shared" si="0"/>
        <v/>
      </c>
      <c r="D34" s="55" t="str">
        <f t="shared" si="1"/>
        <v/>
      </c>
      <c r="E34" s="39" t="str">
        <f>IF('Number events &amp; censored'!K35="","",ROUND('Number events &amp; censored'!K35,0))</f>
        <v/>
      </c>
      <c r="F34" s="39" t="str">
        <f>IF('Number events &amp; censored'!N35="","",ROUND('Number events &amp; censored'!N35,0))</f>
        <v/>
      </c>
    </row>
    <row r="35" spans="1:6" x14ac:dyDescent="0.15">
      <c r="A35" s="55" t="str">
        <f>IF(B35="","",IF('Number events &amp; censored'!B36=0,0.0001,'Number events &amp; censored'!B36))</f>
        <v/>
      </c>
      <c r="B35" s="55" t="str">
        <f>'Number events &amp; censored'!C36</f>
        <v/>
      </c>
      <c r="C35" s="55" t="str">
        <f t="shared" si="0"/>
        <v/>
      </c>
      <c r="D35" s="55" t="str">
        <f t="shared" si="1"/>
        <v/>
      </c>
      <c r="E35" s="39" t="str">
        <f>IF('Number events &amp; censored'!K36="","",ROUND('Number events &amp; censored'!K36,0))</f>
        <v/>
      </c>
      <c r="F35" s="39" t="str">
        <f>IF('Number events &amp; censored'!N36="","",ROUND('Number events &amp; censored'!N36,0))</f>
        <v/>
      </c>
    </row>
    <row r="36" spans="1:6" x14ac:dyDescent="0.15">
      <c r="A36" s="55" t="str">
        <f>IF(B36="","",IF('Number events &amp; censored'!B37=0,0.0001,'Number events &amp; censored'!B37))</f>
        <v/>
      </c>
      <c r="B36" s="55" t="str">
        <f>'Number events &amp; censored'!C37</f>
        <v/>
      </c>
      <c r="C36" s="55" t="str">
        <f t="shared" si="0"/>
        <v/>
      </c>
      <c r="D36" s="55" t="str">
        <f t="shared" si="1"/>
        <v/>
      </c>
      <c r="E36" s="39" t="str">
        <f>IF('Number events &amp; censored'!K37="","",ROUND('Number events &amp; censored'!K37,0))</f>
        <v/>
      </c>
      <c r="F36" s="39" t="str">
        <f>IF('Number events &amp; censored'!N37="","",ROUND('Number events &amp; censored'!N37,0))</f>
        <v/>
      </c>
    </row>
    <row r="37" spans="1:6" x14ac:dyDescent="0.15">
      <c r="A37" s="55" t="str">
        <f>IF(B37="","",IF('Number events &amp; censored'!B38=0,0.0001,'Number events &amp; censored'!B38))</f>
        <v/>
      </c>
      <c r="B37" s="55" t="str">
        <f>'Number events &amp; censored'!C38</f>
        <v/>
      </c>
      <c r="C37" s="55" t="str">
        <f t="shared" si="0"/>
        <v/>
      </c>
      <c r="D37" s="55" t="str">
        <f t="shared" si="1"/>
        <v/>
      </c>
      <c r="E37" s="39" t="str">
        <f>IF('Number events &amp; censored'!K38="","",ROUND('Number events &amp; censored'!K38,0))</f>
        <v/>
      </c>
      <c r="F37" s="39" t="str">
        <f>IF('Number events &amp; censored'!N38="","",ROUND('Number events &amp; censored'!N38,0))</f>
        <v/>
      </c>
    </row>
    <row r="38" spans="1:6" x14ac:dyDescent="0.15">
      <c r="A38" s="55" t="str">
        <f>IF(B38="","",IF('Number events &amp; censored'!B39=0,0.0001,'Number events &amp; censored'!B39))</f>
        <v/>
      </c>
      <c r="B38" s="55" t="str">
        <f>'Number events &amp; censored'!C39</f>
        <v/>
      </c>
      <c r="C38" s="55" t="str">
        <f t="shared" si="0"/>
        <v/>
      </c>
      <c r="D38" s="55" t="str">
        <f t="shared" si="1"/>
        <v/>
      </c>
      <c r="E38" s="39" t="str">
        <f>IF('Number events &amp; censored'!K39="","",ROUND('Number events &amp; censored'!K39,0))</f>
        <v/>
      </c>
      <c r="F38" s="39" t="str">
        <f>IF('Number events &amp; censored'!N39="","",ROUND('Number events &amp; censored'!N39,0))</f>
        <v/>
      </c>
    </row>
    <row r="39" spans="1:6" x14ac:dyDescent="0.15">
      <c r="A39" s="55" t="str">
        <f>IF(B39="","",IF('Number events &amp; censored'!B40=0,0.0001,'Number events &amp; censored'!B40))</f>
        <v/>
      </c>
      <c r="B39" s="55" t="str">
        <f>'Number events &amp; censored'!C40</f>
        <v/>
      </c>
      <c r="C39" s="55" t="str">
        <f t="shared" si="0"/>
        <v/>
      </c>
      <c r="D39" s="55" t="str">
        <f t="shared" si="1"/>
        <v/>
      </c>
      <c r="E39" s="39" t="str">
        <f>IF('Number events &amp; censored'!K40="","",ROUND('Number events &amp; censored'!K40,0))</f>
        <v/>
      </c>
      <c r="F39" s="39" t="str">
        <f>IF('Number events &amp; censored'!N40="","",ROUND('Number events &amp; censored'!N40,0))</f>
        <v/>
      </c>
    </row>
    <row r="40" spans="1:6" x14ac:dyDescent="0.15">
      <c r="A40" s="55" t="str">
        <f>IF(B40="","",IF('Number events &amp; censored'!B41=0,0.0001,'Number events &amp; censored'!B41))</f>
        <v/>
      </c>
      <c r="B40" s="55" t="str">
        <f>'Number events &amp; censored'!C41</f>
        <v/>
      </c>
      <c r="C40" s="55" t="str">
        <f t="shared" si="0"/>
        <v/>
      </c>
      <c r="D40" s="55" t="str">
        <f t="shared" si="1"/>
        <v/>
      </c>
      <c r="E40" s="39" t="str">
        <f>IF('Number events &amp; censored'!K41="","",ROUND('Number events &amp; censored'!K41,0))</f>
        <v/>
      </c>
      <c r="F40" s="39" t="str">
        <f>IF('Number events &amp; censored'!N41="","",ROUND('Number events &amp; censored'!N41,0))</f>
        <v/>
      </c>
    </row>
    <row r="41" spans="1:6" x14ac:dyDescent="0.15">
      <c r="A41" s="55" t="str">
        <f>IF(B41="","",IF('Number events &amp; censored'!B42=0,0.0001,'Number events &amp; censored'!B42))</f>
        <v/>
      </c>
      <c r="B41" s="55" t="str">
        <f>'Number events &amp; censored'!C42</f>
        <v/>
      </c>
      <c r="C41" s="55" t="str">
        <f t="shared" si="0"/>
        <v/>
      </c>
      <c r="D41" s="55" t="str">
        <f t="shared" si="1"/>
        <v/>
      </c>
      <c r="E41" s="39" t="str">
        <f>IF('Number events &amp; censored'!K42="","",ROUND('Number events &amp; censored'!K42,0))</f>
        <v/>
      </c>
      <c r="F41" s="39" t="str">
        <f>IF('Number events &amp; censored'!N42="","",ROUND('Number events &amp; censored'!N42,0))</f>
        <v/>
      </c>
    </row>
    <row r="42" spans="1:6" x14ac:dyDescent="0.15">
      <c r="A42" s="55" t="str">
        <f>IF(B42="","",IF('Number events &amp; censored'!B43=0,0.0001,'Number events &amp; censored'!B43))</f>
        <v/>
      </c>
      <c r="B42" s="55" t="str">
        <f>'Number events &amp; censored'!C43</f>
        <v/>
      </c>
      <c r="C42" s="55" t="str">
        <f t="shared" si="0"/>
        <v/>
      </c>
      <c r="D42" s="55" t="str">
        <f t="shared" si="1"/>
        <v/>
      </c>
      <c r="E42" s="39" t="str">
        <f>IF('Number events &amp; censored'!K43="","",ROUND('Number events &amp; censored'!K43,0))</f>
        <v/>
      </c>
      <c r="F42" s="39" t="str">
        <f>IF('Number events &amp; censored'!N43="","",ROUND('Number events &amp; censored'!N43,0))</f>
        <v/>
      </c>
    </row>
    <row r="43" spans="1:6" x14ac:dyDescent="0.15">
      <c r="A43" s="55" t="str">
        <f>IF(B43="","",IF('Number events &amp; censored'!B44=0,0.0001,'Number events &amp; censored'!B44))</f>
        <v/>
      </c>
      <c r="B43" s="55" t="str">
        <f>'Number events &amp; censored'!C44</f>
        <v/>
      </c>
      <c r="C43" s="55" t="str">
        <f t="shared" si="0"/>
        <v/>
      </c>
      <c r="D43" s="55" t="str">
        <f t="shared" si="1"/>
        <v/>
      </c>
      <c r="E43" s="39" t="str">
        <f>IF('Number events &amp; censored'!K44="","",ROUND('Number events &amp; censored'!K44,0))</f>
        <v/>
      </c>
      <c r="F43" s="39" t="str">
        <f>IF('Number events &amp; censored'!N44="","",ROUND('Number events &amp; censored'!N44,0))</f>
        <v/>
      </c>
    </row>
    <row r="44" spans="1:6" x14ac:dyDescent="0.15">
      <c r="A44" s="55" t="str">
        <f>IF(B44="","",IF('Number events &amp; censored'!B45=0,0.0001,'Number events &amp; censored'!B45))</f>
        <v/>
      </c>
      <c r="B44" s="55" t="str">
        <f>'Number events &amp; censored'!C45</f>
        <v/>
      </c>
      <c r="C44" s="55" t="str">
        <f t="shared" si="0"/>
        <v/>
      </c>
      <c r="D44" s="55" t="str">
        <f t="shared" si="1"/>
        <v/>
      </c>
      <c r="E44" s="39" t="str">
        <f>IF('Number events &amp; censored'!K45="","",ROUND('Number events &amp; censored'!K45,0))</f>
        <v/>
      </c>
      <c r="F44" s="39" t="str">
        <f>IF('Number events &amp; censored'!N45="","",ROUND('Number events &amp; censored'!N45,0))</f>
        <v/>
      </c>
    </row>
    <row r="45" spans="1:6" x14ac:dyDescent="0.15">
      <c r="A45" s="55" t="str">
        <f>IF(B45="","",IF('Number events &amp; censored'!B46=0,0.0001,'Number events &amp; censored'!B46))</f>
        <v/>
      </c>
      <c r="B45" s="55" t="str">
        <f>'Number events &amp; censored'!C46</f>
        <v/>
      </c>
      <c r="C45" s="55" t="str">
        <f t="shared" si="0"/>
        <v/>
      </c>
      <c r="D45" s="55" t="str">
        <f t="shared" si="1"/>
        <v/>
      </c>
      <c r="E45" s="39" t="str">
        <f>IF('Number events &amp; censored'!K46="","",ROUND('Number events &amp; censored'!K46,0))</f>
        <v/>
      </c>
      <c r="F45" s="39" t="str">
        <f>IF('Number events &amp; censored'!N46="","",ROUND('Number events &amp; censored'!N46,0))</f>
        <v/>
      </c>
    </row>
    <row r="46" spans="1:6" x14ac:dyDescent="0.15">
      <c r="A46" s="55" t="str">
        <f>IF(B46="","",IF('Number events &amp; censored'!B47=0,0.0001,'Number events &amp; censored'!B47))</f>
        <v/>
      </c>
      <c r="B46" s="55" t="str">
        <f>'Number events &amp; censored'!C47</f>
        <v/>
      </c>
      <c r="C46" s="55" t="str">
        <f t="shared" si="0"/>
        <v/>
      </c>
      <c r="D46" s="55" t="str">
        <f t="shared" si="1"/>
        <v/>
      </c>
      <c r="E46" s="39" t="str">
        <f>IF('Number events &amp; censored'!K47="","",ROUND('Number events &amp; censored'!K47,0))</f>
        <v/>
      </c>
      <c r="F46" s="39" t="str">
        <f>IF('Number events &amp; censored'!N47="","",ROUND('Number events &amp; censored'!N47,0))</f>
        <v/>
      </c>
    </row>
    <row r="47" spans="1:6" x14ac:dyDescent="0.15">
      <c r="A47" s="55" t="str">
        <f>IF(B47="","",IF('Number events &amp; censored'!B48=0,0.0001,'Number events &amp; censored'!B48))</f>
        <v/>
      </c>
      <c r="B47" s="55" t="str">
        <f>'Number events &amp; censored'!C48</f>
        <v/>
      </c>
      <c r="C47" s="55" t="str">
        <f t="shared" si="0"/>
        <v/>
      </c>
      <c r="D47" s="55" t="str">
        <f t="shared" si="1"/>
        <v/>
      </c>
      <c r="E47" s="39" t="str">
        <f>IF('Number events &amp; censored'!K48="","",ROUND('Number events &amp; censored'!K48,0))</f>
        <v/>
      </c>
      <c r="F47" s="39" t="str">
        <f>IF('Number events &amp; censored'!N48="","",ROUND('Number events &amp; censored'!N48,0))</f>
        <v/>
      </c>
    </row>
    <row r="48" spans="1:6" x14ac:dyDescent="0.15">
      <c r="A48" s="55" t="str">
        <f>IF(B48="","",IF('Number events &amp; censored'!B49=0,0.0001,'Number events &amp; censored'!B49))</f>
        <v/>
      </c>
      <c r="B48" s="55" t="str">
        <f>'Number events &amp; censored'!C49</f>
        <v/>
      </c>
      <c r="C48" s="55" t="str">
        <f t="shared" si="0"/>
        <v/>
      </c>
      <c r="D48" s="55" t="str">
        <f t="shared" si="1"/>
        <v/>
      </c>
      <c r="E48" s="39" t="str">
        <f>IF('Number events &amp; censored'!K49="","",ROUND('Number events &amp; censored'!K49,0))</f>
        <v/>
      </c>
      <c r="F48" s="39" t="str">
        <f>IF('Number events &amp; censored'!N49="","",ROUND('Number events &amp; censored'!N49,0))</f>
        <v/>
      </c>
    </row>
    <row r="49" spans="1:6" x14ac:dyDescent="0.15">
      <c r="A49" s="55" t="str">
        <f>IF(B49="","",IF('Number events &amp; censored'!B50=0,0.0001,'Number events &amp; censored'!B50))</f>
        <v/>
      </c>
      <c r="B49" s="55" t="str">
        <f>'Number events &amp; censored'!C50</f>
        <v/>
      </c>
      <c r="C49" s="55" t="str">
        <f t="shared" si="0"/>
        <v/>
      </c>
      <c r="D49" s="55" t="str">
        <f t="shared" si="1"/>
        <v/>
      </c>
      <c r="E49" s="39" t="str">
        <f>IF('Number events &amp; censored'!K50="","",ROUND('Number events &amp; censored'!K50,0))</f>
        <v/>
      </c>
      <c r="F49" s="39" t="str">
        <f>IF('Number events &amp; censored'!N50="","",ROUND('Number events &amp; censored'!N50,0))</f>
        <v/>
      </c>
    </row>
    <row r="50" spans="1:6" x14ac:dyDescent="0.15">
      <c r="A50" s="55" t="str">
        <f>IF(B50="","",IF('Number events &amp; censored'!B51=0,0.0001,'Number events &amp; censored'!B51))</f>
        <v/>
      </c>
      <c r="B50" s="55" t="str">
        <f>'Number events &amp; censored'!C51</f>
        <v/>
      </c>
      <c r="C50" s="55" t="str">
        <f t="shared" si="0"/>
        <v/>
      </c>
      <c r="D50" s="55" t="str">
        <f t="shared" si="1"/>
        <v/>
      </c>
      <c r="E50" s="39" t="str">
        <f>IF('Number events &amp; censored'!K51="","",ROUND('Number events &amp; censored'!K51,0))</f>
        <v/>
      </c>
      <c r="F50" s="39" t="str">
        <f>IF('Number events &amp; censored'!N51="","",ROUND('Number events &amp; censored'!N51,0))</f>
        <v/>
      </c>
    </row>
    <row r="51" spans="1:6" x14ac:dyDescent="0.15">
      <c r="A51" s="55" t="str">
        <f>IF(B51="","",IF('Number events &amp; censored'!B52=0,0.0001,'Number events &amp; censored'!B52))</f>
        <v/>
      </c>
      <c r="B51" s="55" t="str">
        <f>'Number events &amp; censored'!C52</f>
        <v/>
      </c>
      <c r="C51" s="55" t="str">
        <f t="shared" si="0"/>
        <v/>
      </c>
      <c r="D51" s="55" t="str">
        <f t="shared" si="1"/>
        <v/>
      </c>
      <c r="E51" s="39" t="str">
        <f>IF('Number events &amp; censored'!K52="","",ROUND('Number events &amp; censored'!K52,0))</f>
        <v/>
      </c>
      <c r="F51" s="39" t="str">
        <f>IF('Number events &amp; censored'!N52="","",ROUND('Number events &amp; censored'!N52,0))</f>
        <v/>
      </c>
    </row>
    <row r="52" spans="1:6" x14ac:dyDescent="0.15">
      <c r="A52" s="55" t="str">
        <f>IF(B52="","",IF('Number events &amp; censored'!B53=0,0.0001,'Number events &amp; censored'!B53))</f>
        <v/>
      </c>
      <c r="B52" s="55" t="str">
        <f>'Number events &amp; censored'!C53</f>
        <v/>
      </c>
      <c r="C52" s="55" t="str">
        <f t="shared" si="0"/>
        <v/>
      </c>
      <c r="D52" s="55" t="str">
        <f t="shared" si="1"/>
        <v/>
      </c>
      <c r="E52" s="39" t="str">
        <f>IF('Number events &amp; censored'!K53="","",ROUND('Number events &amp; censored'!K53,0))</f>
        <v/>
      </c>
      <c r="F52" s="39" t="str">
        <f>IF('Number events &amp; censored'!N53="","",ROUND('Number events &amp; censored'!N53,0))</f>
        <v/>
      </c>
    </row>
    <row r="53" spans="1:6" x14ac:dyDescent="0.15">
      <c r="A53" s="55" t="str">
        <f>IF(B53="","",IF('Number events &amp; censored'!B54=0,0.0001,'Number events &amp; censored'!B54))</f>
        <v/>
      </c>
      <c r="B53" s="55" t="str">
        <f>'Number events &amp; censored'!C54</f>
        <v/>
      </c>
      <c r="C53" s="55" t="str">
        <f t="shared" si="0"/>
        <v/>
      </c>
      <c r="D53" s="55" t="str">
        <f t="shared" si="1"/>
        <v/>
      </c>
      <c r="E53" s="39" t="str">
        <f>IF('Number events &amp; censored'!K54="","",ROUND('Number events &amp; censored'!K54,0))</f>
        <v/>
      </c>
      <c r="F53" s="39" t="str">
        <f>IF('Number events &amp; censored'!N54="","",ROUND('Number events &amp; censored'!N54,0))</f>
        <v/>
      </c>
    </row>
    <row r="54" spans="1:6" x14ac:dyDescent="0.15">
      <c r="A54" s="55" t="str">
        <f>IF(B54="","",IF('Number events &amp; censored'!B55=0,0.0001,'Number events &amp; censored'!B55))</f>
        <v/>
      </c>
      <c r="B54" s="55" t="str">
        <f>'Number events &amp; censored'!C55</f>
        <v/>
      </c>
      <c r="C54" s="55" t="str">
        <f t="shared" si="0"/>
        <v/>
      </c>
      <c r="D54" s="55" t="str">
        <f t="shared" si="1"/>
        <v/>
      </c>
      <c r="E54" s="39" t="str">
        <f>IF('Number events &amp; censored'!K55="","",ROUND('Number events &amp; censored'!K55,0))</f>
        <v/>
      </c>
      <c r="F54" s="39" t="str">
        <f>IF('Number events &amp; censored'!N55="","",ROUND('Number events &amp; censored'!N55,0))</f>
        <v/>
      </c>
    </row>
    <row r="55" spans="1:6" x14ac:dyDescent="0.15">
      <c r="A55" s="55" t="str">
        <f>IF(B55="","",IF('Number events &amp; censored'!B56=0,0.0001,'Number events &amp; censored'!B56))</f>
        <v/>
      </c>
      <c r="B55" s="55" t="str">
        <f>'Number events &amp; censored'!C56</f>
        <v/>
      </c>
      <c r="C55" s="55" t="str">
        <f t="shared" si="0"/>
        <v/>
      </c>
      <c r="D55" s="55" t="str">
        <f t="shared" si="1"/>
        <v/>
      </c>
      <c r="E55" s="39" t="str">
        <f>IF('Number events &amp; censored'!K56="","",ROUND('Number events &amp; censored'!K56,0))</f>
        <v/>
      </c>
      <c r="F55" s="39" t="str">
        <f>IF('Number events &amp; censored'!N56="","",ROUND('Number events &amp; censored'!N56,0))</f>
        <v/>
      </c>
    </row>
    <row r="56" spans="1:6" x14ac:dyDescent="0.15">
      <c r="A56" s="55" t="str">
        <f>IF(B56="","",IF('Number events &amp; censored'!B57=0,0.0001,'Number events &amp; censored'!B57))</f>
        <v/>
      </c>
      <c r="B56" s="55" t="str">
        <f>'Number events &amp; censored'!C57</f>
        <v/>
      </c>
      <c r="C56" s="55" t="str">
        <f t="shared" si="0"/>
        <v/>
      </c>
      <c r="D56" s="55" t="str">
        <f t="shared" si="1"/>
        <v/>
      </c>
      <c r="E56" s="39" t="str">
        <f>IF('Number events &amp; censored'!K57="","",ROUND('Number events &amp; censored'!K57,0))</f>
        <v/>
      </c>
      <c r="F56" s="39" t="str">
        <f>IF('Number events &amp; censored'!N57="","",ROUND('Number events &amp; censored'!N57,0))</f>
        <v/>
      </c>
    </row>
    <row r="57" spans="1:6" x14ac:dyDescent="0.15">
      <c r="A57" s="55" t="str">
        <f>IF(B57="","",IF('Number events &amp; censored'!B58=0,0.0001,'Number events &amp; censored'!B58))</f>
        <v/>
      </c>
      <c r="B57" s="55" t="str">
        <f>'Number events &amp; censored'!C58</f>
        <v/>
      </c>
      <c r="C57" s="55" t="str">
        <f t="shared" si="0"/>
        <v/>
      </c>
      <c r="D57" s="55" t="str">
        <f t="shared" si="1"/>
        <v/>
      </c>
      <c r="E57" s="39" t="str">
        <f>IF('Number events &amp; censored'!K58="","",ROUND('Number events &amp; censored'!K58,0))</f>
        <v/>
      </c>
      <c r="F57" s="39" t="str">
        <f>IF('Number events &amp; censored'!N58="","",ROUND('Number events &amp; censored'!N58,0))</f>
        <v/>
      </c>
    </row>
    <row r="58" spans="1:6" x14ac:dyDescent="0.15">
      <c r="A58" s="55" t="str">
        <f>IF(B58="","",IF('Number events &amp; censored'!B59=0,0.0001,'Number events &amp; censored'!B59))</f>
        <v/>
      </c>
      <c r="B58" s="55" t="str">
        <f>'Number events &amp; censored'!C59</f>
        <v/>
      </c>
      <c r="C58" s="55" t="str">
        <f t="shared" si="0"/>
        <v/>
      </c>
      <c r="D58" s="55" t="str">
        <f t="shared" si="1"/>
        <v/>
      </c>
      <c r="E58" s="39" t="str">
        <f>IF('Number events &amp; censored'!K59="","",ROUND('Number events &amp; censored'!K59,0))</f>
        <v/>
      </c>
      <c r="F58" s="39" t="str">
        <f>IF('Number events &amp; censored'!N59="","",ROUND('Number events &amp; censored'!N59,0))</f>
        <v/>
      </c>
    </row>
    <row r="59" spans="1:6" x14ac:dyDescent="0.15">
      <c r="A59" s="55" t="str">
        <f>IF(B59="","",IF('Number events &amp; censored'!B60=0,0.0001,'Number events &amp; censored'!B60))</f>
        <v/>
      </c>
      <c r="B59" s="55" t="str">
        <f>'Number events &amp; censored'!C60</f>
        <v/>
      </c>
      <c r="C59" s="55" t="str">
        <f t="shared" si="0"/>
        <v/>
      </c>
      <c r="D59" s="55" t="str">
        <f t="shared" si="1"/>
        <v/>
      </c>
      <c r="E59" s="39" t="str">
        <f>IF('Number events &amp; censored'!K60="","",ROUND('Number events &amp; censored'!K60,0))</f>
        <v/>
      </c>
      <c r="F59" s="39" t="str">
        <f>IF('Number events &amp; censored'!N60="","",ROUND('Number events &amp; censored'!N60,0))</f>
        <v/>
      </c>
    </row>
    <row r="60" spans="1:6" x14ac:dyDescent="0.15">
      <c r="A60" s="55" t="str">
        <f>IF(B60="","",IF('Number events &amp; censored'!B61=0,0.0001,'Number events &amp; censored'!B61))</f>
        <v/>
      </c>
      <c r="B60" s="55" t="str">
        <f>'Number events &amp; censored'!C61</f>
        <v/>
      </c>
      <c r="C60" s="55" t="str">
        <f t="shared" si="0"/>
        <v/>
      </c>
      <c r="D60" s="55" t="str">
        <f t="shared" si="1"/>
        <v/>
      </c>
      <c r="E60" s="39" t="str">
        <f>IF('Number events &amp; censored'!K61="","",ROUND('Number events &amp; censored'!K61,0))</f>
        <v/>
      </c>
      <c r="F60" s="39" t="str">
        <f>IF('Number events &amp; censored'!N61="","",ROUND('Number events &amp; censored'!N61,0))</f>
        <v/>
      </c>
    </row>
    <row r="61" spans="1:6" x14ac:dyDescent="0.15">
      <c r="A61" s="55" t="str">
        <f>IF(B61="","",IF('Number events &amp; censored'!B62=0,0.0001,'Number events &amp; censored'!B62))</f>
        <v/>
      </c>
      <c r="B61" s="55" t="str">
        <f>'Number events &amp; censored'!C62</f>
        <v/>
      </c>
      <c r="C61" s="55" t="str">
        <f t="shared" si="0"/>
        <v/>
      </c>
      <c r="D61" s="55" t="str">
        <f t="shared" si="1"/>
        <v/>
      </c>
      <c r="E61" s="39" t="str">
        <f>IF('Number events &amp; censored'!K62="","",ROUND('Number events &amp; censored'!K62,0))</f>
        <v/>
      </c>
      <c r="F61" s="39" t="str">
        <f>IF('Number events &amp; censored'!N62="","",ROUND('Number events &amp; censored'!N62,0))</f>
        <v/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M61"/>
  <sheetViews>
    <sheetView workbookViewId="0">
      <selection activeCell="M10" sqref="M10"/>
    </sheetView>
  </sheetViews>
  <sheetFormatPr baseColWidth="10" defaultColWidth="9.1640625" defaultRowHeight="15" x14ac:dyDescent="0.2"/>
  <cols>
    <col min="1" max="1" width="38" style="78" customWidth="1"/>
    <col min="2" max="2" width="10.5" style="4" bestFit="1" customWidth="1"/>
    <col min="3" max="16384" width="9.1640625" style="4"/>
  </cols>
  <sheetData>
    <row r="2" spans="1:6" ht="23" x14ac:dyDescent="0.3">
      <c r="A2" s="86" t="s">
        <v>24</v>
      </c>
    </row>
    <row r="3" spans="1:6" x14ac:dyDescent="0.2">
      <c r="A3" s="76"/>
    </row>
    <row r="4" spans="1:6" x14ac:dyDescent="0.2">
      <c r="A4" s="77" t="s">
        <v>54</v>
      </c>
      <c r="F4" s="6"/>
    </row>
    <row r="5" spans="1:6" x14ac:dyDescent="0.2">
      <c r="A5" s="77" t="s">
        <v>25</v>
      </c>
    </row>
    <row r="7" spans="1:6" x14ac:dyDescent="0.2">
      <c r="A7" s="75" t="s">
        <v>26</v>
      </c>
    </row>
    <row r="8" spans="1:6" x14ac:dyDescent="0.2">
      <c r="A8" s="79" t="s">
        <v>55</v>
      </c>
    </row>
    <row r="9" spans="1:6" x14ac:dyDescent="0.2">
      <c r="A9" s="77" t="s">
        <v>27</v>
      </c>
    </row>
    <row r="10" spans="1:6" x14ac:dyDescent="0.2">
      <c r="A10" s="77" t="s">
        <v>28</v>
      </c>
    </row>
    <row r="11" spans="1:6" x14ac:dyDescent="0.2">
      <c r="A11" s="76"/>
    </row>
    <row r="12" spans="1:6" x14ac:dyDescent="0.2">
      <c r="A12" s="77" t="s">
        <v>56</v>
      </c>
    </row>
    <row r="13" spans="1:6" x14ac:dyDescent="0.2">
      <c r="A13" s="77" t="s">
        <v>57</v>
      </c>
    </row>
    <row r="15" spans="1:6" x14ac:dyDescent="0.2">
      <c r="A15" s="75" t="s">
        <v>29</v>
      </c>
    </row>
    <row r="16" spans="1:6" x14ac:dyDescent="0.2">
      <c r="A16" s="77" t="s">
        <v>58</v>
      </c>
      <c r="E16" s="62" t="s">
        <v>51</v>
      </c>
    </row>
    <row r="17" spans="1:5" x14ac:dyDescent="0.2">
      <c r="A17" s="77" t="s">
        <v>59</v>
      </c>
      <c r="E17" s="62" t="s">
        <v>51</v>
      </c>
    </row>
    <row r="19" spans="1:5" x14ac:dyDescent="0.2">
      <c r="A19" s="75" t="s">
        <v>30</v>
      </c>
      <c r="B19" s="5"/>
      <c r="C19" s="5"/>
    </row>
    <row r="20" spans="1:5" x14ac:dyDescent="0.2">
      <c r="A20" s="80" t="s">
        <v>60</v>
      </c>
      <c r="B20" s="5"/>
      <c r="C20" s="5"/>
    </row>
    <row r="21" spans="1:5" x14ac:dyDescent="0.2">
      <c r="A21" s="80" t="s">
        <v>61</v>
      </c>
      <c r="B21" s="5"/>
      <c r="C21" s="5"/>
    </row>
    <row r="22" spans="1:5" x14ac:dyDescent="0.2">
      <c r="A22" s="80" t="s">
        <v>62</v>
      </c>
      <c r="B22" s="5"/>
      <c r="C22" s="5"/>
    </row>
    <row r="23" spans="1:5" x14ac:dyDescent="0.2">
      <c r="A23" s="80" t="s">
        <v>63</v>
      </c>
      <c r="B23" s="5"/>
      <c r="C23" s="5"/>
    </row>
    <row r="24" spans="1:5" x14ac:dyDescent="0.2">
      <c r="A24" s="81"/>
      <c r="B24" s="5"/>
      <c r="C24" s="5"/>
    </row>
    <row r="25" spans="1:5" x14ac:dyDescent="0.2">
      <c r="A25" s="75" t="s">
        <v>31</v>
      </c>
      <c r="B25" s="5"/>
      <c r="C25" s="5"/>
    </row>
    <row r="26" spans="1:5" x14ac:dyDescent="0.2">
      <c r="A26" s="82" t="s">
        <v>64</v>
      </c>
      <c r="B26" s="5"/>
      <c r="C26" s="5"/>
    </row>
    <row r="27" spans="1:5" x14ac:dyDescent="0.2">
      <c r="A27" s="77" t="s">
        <v>32</v>
      </c>
      <c r="B27" s="5"/>
      <c r="C27" s="5"/>
    </row>
    <row r="28" spans="1:5" x14ac:dyDescent="0.2">
      <c r="A28" s="82" t="s">
        <v>65</v>
      </c>
      <c r="B28" s="5"/>
      <c r="C28" s="5"/>
    </row>
    <row r="29" spans="1:5" x14ac:dyDescent="0.2">
      <c r="A29" s="82" t="s">
        <v>33</v>
      </c>
      <c r="B29" s="5"/>
      <c r="C29" s="5"/>
    </row>
    <row r="30" spans="1:5" x14ac:dyDescent="0.2">
      <c r="A30" s="82" t="s">
        <v>66</v>
      </c>
      <c r="B30" s="5"/>
      <c r="C30" s="5"/>
    </row>
    <row r="31" spans="1:5" x14ac:dyDescent="0.2">
      <c r="A31" s="77" t="s">
        <v>34</v>
      </c>
      <c r="B31" s="5"/>
      <c r="C31" s="5"/>
    </row>
    <row r="32" spans="1:5" x14ac:dyDescent="0.2">
      <c r="A32" s="82" t="s">
        <v>67</v>
      </c>
      <c r="B32" s="5"/>
      <c r="C32" s="5"/>
    </row>
    <row r="33" spans="1:13" x14ac:dyDescent="0.2">
      <c r="A33" s="77" t="s">
        <v>35</v>
      </c>
      <c r="M33" s="6"/>
    </row>
    <row r="34" spans="1:13" x14ac:dyDescent="0.2">
      <c r="M34" s="6"/>
    </row>
    <row r="35" spans="1:13" x14ac:dyDescent="0.2">
      <c r="M35" s="6"/>
    </row>
    <row r="36" spans="1:13" x14ac:dyDescent="0.2">
      <c r="A36" s="83" t="s">
        <v>36</v>
      </c>
      <c r="B36" s="5"/>
      <c r="C36" s="5"/>
    </row>
    <row r="37" spans="1:13" x14ac:dyDescent="0.2">
      <c r="A37" s="80" t="s">
        <v>68</v>
      </c>
      <c r="B37" s="5"/>
      <c r="C37" s="5"/>
    </row>
    <row r="38" spans="1:13" x14ac:dyDescent="0.2">
      <c r="A38" s="82" t="s">
        <v>37</v>
      </c>
      <c r="B38" s="5"/>
    </row>
    <row r="39" spans="1:13" x14ac:dyDescent="0.2">
      <c r="A39" s="80" t="s">
        <v>69</v>
      </c>
      <c r="B39" s="5"/>
    </row>
    <row r="40" spans="1:13" x14ac:dyDescent="0.2">
      <c r="A40" s="80" t="s">
        <v>70</v>
      </c>
      <c r="B40" s="5"/>
    </row>
    <row r="41" spans="1:13" x14ac:dyDescent="0.2">
      <c r="A41" s="82" t="s">
        <v>38</v>
      </c>
    </row>
    <row r="42" spans="1:13" x14ac:dyDescent="0.2">
      <c r="A42" s="82" t="s">
        <v>39</v>
      </c>
    </row>
    <row r="43" spans="1:13" x14ac:dyDescent="0.2">
      <c r="A43" s="84"/>
    </row>
    <row r="44" spans="1:13" x14ac:dyDescent="0.2">
      <c r="A44" s="80" t="s">
        <v>71</v>
      </c>
    </row>
    <row r="45" spans="1:13" x14ac:dyDescent="0.2">
      <c r="A45" s="80" t="s">
        <v>72</v>
      </c>
    </row>
    <row r="46" spans="1:13" x14ac:dyDescent="0.2">
      <c r="A46" s="82" t="s">
        <v>40</v>
      </c>
    </row>
    <row r="47" spans="1:13" x14ac:dyDescent="0.2">
      <c r="A47" s="82" t="s">
        <v>41</v>
      </c>
    </row>
    <row r="48" spans="1:13" x14ac:dyDescent="0.2">
      <c r="A48" s="80" t="s">
        <v>73</v>
      </c>
    </row>
    <row r="49" spans="1:1" x14ac:dyDescent="0.2">
      <c r="A49" s="80" t="s">
        <v>74</v>
      </c>
    </row>
    <row r="50" spans="1:1" x14ac:dyDescent="0.2">
      <c r="A50" s="82" t="s">
        <v>42</v>
      </c>
    </row>
    <row r="51" spans="1:1" x14ac:dyDescent="0.2">
      <c r="A51" s="82" t="s">
        <v>43</v>
      </c>
    </row>
    <row r="53" spans="1:1" x14ac:dyDescent="0.2">
      <c r="A53" s="85" t="s">
        <v>44</v>
      </c>
    </row>
    <row r="54" spans="1:1" x14ac:dyDescent="0.2">
      <c r="A54" s="80" t="s">
        <v>75</v>
      </c>
    </row>
    <row r="55" spans="1:1" x14ac:dyDescent="0.2">
      <c r="A55" s="77" t="s">
        <v>45</v>
      </c>
    </row>
    <row r="56" spans="1:1" x14ac:dyDescent="0.2">
      <c r="A56" s="80" t="s">
        <v>76</v>
      </c>
    </row>
    <row r="57" spans="1:1" x14ac:dyDescent="0.2">
      <c r="A57" s="77" t="s">
        <v>46</v>
      </c>
    </row>
    <row r="58" spans="1:1" x14ac:dyDescent="0.2">
      <c r="A58" s="80" t="s">
        <v>77</v>
      </c>
    </row>
    <row r="59" spans="1:1" x14ac:dyDescent="0.2">
      <c r="A59" s="77" t="s">
        <v>47</v>
      </c>
    </row>
    <row r="60" spans="1:1" x14ac:dyDescent="0.2">
      <c r="A60" s="80" t="s">
        <v>78</v>
      </c>
    </row>
    <row r="61" spans="1:1" x14ac:dyDescent="0.2">
      <c r="A61" s="77" t="s">
        <v>48</v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04e07d6-c20b-4e0d-9b90-606876d1587c" xsi:nil="true"/>
    <lcf76f155ced4ddcb4097134ff3c332f xmlns="dfee21f2-720c-479f-b7d6-8d21ff268949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0E96B73F80F249897EEBDEBE919493" ma:contentTypeVersion="14" ma:contentTypeDescription="Een nieuw document maken." ma:contentTypeScope="" ma:versionID="118e8aaf639b25391b633651d72aea7a">
  <xsd:schema xmlns:xsd="http://www.w3.org/2001/XMLSchema" xmlns:xs="http://www.w3.org/2001/XMLSchema" xmlns:p="http://schemas.microsoft.com/office/2006/metadata/properties" xmlns:ns2="dfee21f2-720c-479f-b7d6-8d21ff268949" xmlns:ns3="604e07d6-c20b-4e0d-9b90-606876d1587c" targetNamespace="http://schemas.microsoft.com/office/2006/metadata/properties" ma:root="true" ma:fieldsID="418c88da0acfe5480c20765f3b4cbb1f" ns2:_="" ns3:_="">
    <xsd:import namespace="dfee21f2-720c-479f-b7d6-8d21ff268949"/>
    <xsd:import namespace="604e07d6-c20b-4e0d-9b90-606876d158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ee21f2-720c-479f-b7d6-8d21ff2689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d5e0f8d3-5d55-42d7-8108-7e842a0d744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e07d6-c20b-4e0d-9b90-606876d1587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55596d17-a6d4-46a6-80a1-35b1426cbd5f}" ma:internalName="TaxCatchAll" ma:showField="CatchAllData" ma:web="604e07d6-c20b-4e0d-9b90-606876d158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201900B-3E4E-4155-A3AA-471934A53F8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E94371-E464-4EDF-A095-BB7E47B0BA4F}">
  <ds:schemaRefs>
    <ds:schemaRef ds:uri="http://www.w3.org/XML/1998/namespace"/>
    <ds:schemaRef ds:uri="604e07d6-c20b-4e0d-9b90-606876d1587c"/>
    <ds:schemaRef ds:uri="http://schemas.openxmlformats.org/package/2006/metadata/core-properties"/>
    <ds:schemaRef ds:uri="http://schemas.microsoft.com/office/2006/metadata/properties"/>
    <ds:schemaRef ds:uri="dfee21f2-720c-479f-b7d6-8d21ff268949"/>
    <ds:schemaRef ds:uri="http://purl.org/dc/elements/1.1/"/>
    <ds:schemaRef ds:uri="http://purl.org/dc/dcmitype/"/>
    <ds:schemaRef ds:uri="http://schemas.microsoft.com/office/2006/documentManagement/types"/>
    <ds:schemaRef ds:uri="http://purl.org/dc/terms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C29585F-76F4-4837-8B3B-93BFCE3631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ee21f2-720c-479f-b7d6-8d21ff268949"/>
    <ds:schemaRef ds:uri="604e07d6-c20b-4e0d-9b90-606876d158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XY</vt:lpstr>
      <vt:lpstr>Number events &amp; censored</vt:lpstr>
      <vt:lpstr>R data</vt:lpstr>
      <vt:lpstr>Curve fitting 'R' code</vt:lpstr>
      <vt:lpstr>Kaplan-Meier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Mart</dc:creator>
  <cp:keywords/>
  <dc:description/>
  <cp:lastModifiedBy>Eline Krijkamp</cp:lastModifiedBy>
  <cp:revision/>
  <dcterms:created xsi:type="dcterms:W3CDTF">2008-06-27T17:37:55Z</dcterms:created>
  <dcterms:modified xsi:type="dcterms:W3CDTF">2025-01-28T20:54:31Z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0x010100740E96B73F80F249897EEBDEBE919493</vt:lpwstr>
  </property>
  <property fmtid="{D5CDD505-2E9C-101B-9397-08002B2CF9AE}" pid="3" name="MediaServiceImageTags">
    <vt:lpwstr/>
  </property>
  <property fmtid="{D5CDD505-2E9C-101B-9397-08002B2CF9AE}" pid="4" name="MSIP_Label_8772ba27-cab8-4042-a351-a31f6e4eacdc_Enabled">
    <vt:lpwstr>true</vt:lpwstr>
  </property>
  <property fmtid="{D5CDD505-2E9C-101B-9397-08002B2CF9AE}" pid="5" name="MSIP_Label_8772ba27-cab8-4042-a351-a31f6e4eacdc_SetDate">
    <vt:lpwstr>2024-12-06T13:46:53Z</vt:lpwstr>
  </property>
  <property fmtid="{D5CDD505-2E9C-101B-9397-08002B2CF9AE}" pid="6" name="MSIP_Label_8772ba27-cab8-4042-a351-a31f6e4eacdc_Method">
    <vt:lpwstr>Standard</vt:lpwstr>
  </property>
  <property fmtid="{D5CDD505-2E9C-101B-9397-08002B2CF9AE}" pid="7" name="MSIP_Label_8772ba27-cab8-4042-a351-a31f6e4eacdc_Name">
    <vt:lpwstr>Internal</vt:lpwstr>
  </property>
  <property fmtid="{D5CDD505-2E9C-101B-9397-08002B2CF9AE}" pid="8" name="MSIP_Label_8772ba27-cab8-4042-a351-a31f6e4eacdc_SiteId">
    <vt:lpwstr>715902d6-f63e-4b8d-929b-4bb170bad492</vt:lpwstr>
  </property>
  <property fmtid="{D5CDD505-2E9C-101B-9397-08002B2CF9AE}" pid="9" name="MSIP_Label_8772ba27-cab8-4042-a351-a31f6e4eacdc_ActionId">
    <vt:lpwstr>10f2c5e3-f792-4987-baef-beedfe54da62</vt:lpwstr>
  </property>
  <property fmtid="{D5CDD505-2E9C-101B-9397-08002B2CF9AE}" pid="10" name="MSIP_Label_8772ba27-cab8-4042-a351-a31f6e4eacdc_ContentBits">
    <vt:lpwstr>0</vt:lpwstr>
  </property>
</Properties>
</file>